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14881\Downloads\"/>
    </mc:Choice>
  </mc:AlternateContent>
  <xr:revisionPtr revIDLastSave="0" documentId="13_ncr:1_{CA2DF0A3-94AB-4A9C-BAD6-AB8E2718A299}" xr6:coauthVersionLast="47" xr6:coauthVersionMax="47" xr10:uidLastSave="{00000000-0000-0000-0000-000000000000}"/>
  <bookViews>
    <workbookView xWindow="-110" yWindow="-110" windowWidth="19420" windowHeight="10300" firstSheet="1" activeTab="4" xr2:uid="{35CFE061-5D10-476F-901A-F3B1651D19B8}"/>
  </bookViews>
  <sheets>
    <sheet name="Mertics" sheetId="1" r:id="rId1"/>
    <sheet name="Attendance" sheetId="4" r:id="rId2"/>
    <sheet name="Training Feedback" sheetId="2" r:id="rId3"/>
    <sheet name="Over all Report Cards" sheetId="3" r:id="rId4"/>
    <sheet name="Assessment re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4" l="1"/>
  <c r="E8" i="4"/>
  <c r="F8" i="4" s="1"/>
  <c r="H7" i="4"/>
  <c r="E7" i="4"/>
  <c r="F7" i="4" s="1"/>
  <c r="H6" i="4"/>
  <c r="E6" i="4"/>
  <c r="G6" i="4" s="1"/>
  <c r="H5" i="4"/>
  <c r="E5" i="4"/>
  <c r="G5" i="4" s="1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F5" i="4" l="1"/>
  <c r="I5" i="4"/>
  <c r="G7" i="4"/>
  <c r="I7" i="4" s="1"/>
  <c r="I6" i="4"/>
  <c r="F6" i="4"/>
  <c r="G8" i="4"/>
  <c r="I8" i="4" s="1"/>
</calcChain>
</file>

<file path=xl/sharedStrings.xml><?xml version="1.0" encoding="utf-8"?>
<sst xmlns="http://schemas.openxmlformats.org/spreadsheetml/2006/main" count="393" uniqueCount="228">
  <si>
    <t>Mon_Delv</t>
  </si>
  <si>
    <t>Training Type</t>
  </si>
  <si>
    <t>Category</t>
  </si>
  <si>
    <t>Location</t>
  </si>
  <si>
    <t>Course_Title</t>
  </si>
  <si>
    <t>Course_Start_Date</t>
  </si>
  <si>
    <t>Course_End_Date</t>
  </si>
  <si>
    <t>Full Duration</t>
  </si>
  <si>
    <t>Duration</t>
  </si>
  <si>
    <t>Trainer Type</t>
  </si>
  <si>
    <t>Trainer Name</t>
  </si>
  <si>
    <t>Nominated</t>
  </si>
  <si>
    <t>Attended</t>
  </si>
  <si>
    <t>Person Hrs</t>
  </si>
  <si>
    <t>Status Planned\Completed\In Progress</t>
  </si>
  <si>
    <t>Trainer's Rating</t>
  </si>
  <si>
    <t>Feedback - Admin</t>
  </si>
  <si>
    <t>Feedback - Material</t>
  </si>
  <si>
    <t>Feedback -Training delivery</t>
  </si>
  <si>
    <t>Overall Rating</t>
  </si>
  <si>
    <t>Facilitator Name</t>
  </si>
  <si>
    <t>Training Thru (Attendance Tracking)</t>
  </si>
  <si>
    <t>Base on training</t>
  </si>
  <si>
    <t>Batch</t>
  </si>
  <si>
    <t>Mavericks</t>
  </si>
  <si>
    <t>Chennai</t>
  </si>
  <si>
    <t>aaa</t>
  </si>
  <si>
    <t>xx</t>
  </si>
  <si>
    <t>yyy</t>
  </si>
  <si>
    <t>Unit/Competency</t>
  </si>
  <si>
    <t>ID</t>
  </si>
  <si>
    <t>Start time</t>
  </si>
  <si>
    <t>Completion time</t>
  </si>
  <si>
    <t>Email</t>
  </si>
  <si>
    <t>Name</t>
  </si>
  <si>
    <t>Email Id:</t>
  </si>
  <si>
    <t>Batch No  and Trainer Name</t>
  </si>
  <si>
    <t>What are your Top 3 takeaways from this course?</t>
  </si>
  <si>
    <t>What could have been done better in this course?</t>
  </si>
  <si>
    <t>What is the impact of this course on you?</t>
  </si>
  <si>
    <t>Please rate the trainer's delivery and ability to handle the course and audience - 5 being the highest and 1 being the lowest rating:</t>
  </si>
  <si>
    <t>Did the assignments provided help you practice the concepts and understand the skill better?</t>
  </si>
  <si>
    <t>Did the demonstrations and examples of the concepts provided during the session help you understand them?</t>
  </si>
  <si>
    <t>Was the support you received from the trainer regarding your lab, course, case study, or related support appropriate and provided on time?</t>
  </si>
  <si>
    <t>Do technical discussions happening on a daily basis help you understand the skill better?</t>
  </si>
  <si>
    <t>Any other comments :</t>
  </si>
  <si>
    <t>anonymous</t>
  </si>
  <si>
    <t>Aaa</t>
  </si>
  <si>
    <t>XX</t>
  </si>
  <si>
    <t>YY</t>
  </si>
  <si>
    <t>bb</t>
  </si>
  <si>
    <t>cc</t>
  </si>
  <si>
    <t>Stream Training - .Net FSD , Java FSD, Python FSD , Data Engineering , Mainframe, SDET</t>
  </si>
  <si>
    <t>Personal &amp; Training Info</t>
  </si>
  <si>
    <t>Performance Metrics</t>
  </si>
  <si>
    <t>Attendance</t>
  </si>
  <si>
    <t>S.No</t>
  </si>
  <si>
    <t>DOJ</t>
  </si>
  <si>
    <t>Superset ID</t>
  </si>
  <si>
    <t>Emp ID</t>
  </si>
  <si>
    <t>Registered Mail ID</t>
  </si>
  <si>
    <t>College</t>
  </si>
  <si>
    <t>Foundation Language</t>
  </si>
  <si>
    <t>Stream Training</t>
  </si>
  <si>
    <t>Training Start date</t>
  </si>
  <si>
    <t>Training End date</t>
  </si>
  <si>
    <t>Batch No</t>
  </si>
  <si>
    <t>Training Status</t>
  </si>
  <si>
    <t>MCQ -1</t>
  </si>
  <si>
    <t>MCQ -2</t>
  </si>
  <si>
    <t>MCQ -3</t>
  </si>
  <si>
    <t>MCQ -4</t>
  </si>
  <si>
    <t>MCQ -5</t>
  </si>
  <si>
    <t>MCQ -6</t>
  </si>
  <si>
    <t>MCQ -7</t>
  </si>
  <si>
    <t>Coding -1</t>
  </si>
  <si>
    <t>Coding -2</t>
  </si>
  <si>
    <t>Coding -3</t>
  </si>
  <si>
    <t>Coding -4</t>
  </si>
  <si>
    <t>Coding -5</t>
  </si>
  <si>
    <t>Coding -6</t>
  </si>
  <si>
    <t>Coding -7</t>
  </si>
  <si>
    <t>Project Score -1</t>
  </si>
  <si>
    <t>Online Coding Score</t>
  </si>
  <si>
    <t>Final Status</t>
  </si>
  <si>
    <t>Comment / Reason</t>
  </si>
  <si>
    <t>Total No of days</t>
  </si>
  <si>
    <t>Total Present days</t>
  </si>
  <si>
    <t>Absentes</t>
  </si>
  <si>
    <t xml:space="preserve">Percentage </t>
  </si>
  <si>
    <t>A-1</t>
  </si>
  <si>
    <t>A-2</t>
  </si>
  <si>
    <t>Active</t>
  </si>
  <si>
    <t>Grade Assessment 1</t>
  </si>
  <si>
    <t>Grade Assessment 2</t>
  </si>
  <si>
    <t>Grade Assessment 3</t>
  </si>
  <si>
    <t>Grade Assessment 4</t>
  </si>
  <si>
    <t>Grade Assessment 5</t>
  </si>
  <si>
    <t>Project evaluation</t>
  </si>
  <si>
    <t>Final Coding Assessment</t>
  </si>
  <si>
    <t>Candidate Name</t>
  </si>
  <si>
    <t>College Name</t>
  </si>
  <si>
    <t>Personal Mail ID</t>
  </si>
  <si>
    <t>Contact#</t>
  </si>
  <si>
    <t>Foundation Programming Language (Java/C#/Python)</t>
  </si>
  <si>
    <t>Status</t>
  </si>
  <si>
    <t>Email Sent Date</t>
  </si>
  <si>
    <t>Reason</t>
  </si>
  <si>
    <t>A1</t>
  </si>
  <si>
    <t>A2</t>
  </si>
  <si>
    <t>-</t>
  </si>
  <si>
    <t>Not Cleared</t>
  </si>
  <si>
    <t>Cleared</t>
  </si>
  <si>
    <t>Foundation - Training Report Card</t>
  </si>
  <si>
    <t>xxx</t>
  </si>
  <si>
    <t>AAA</t>
  </si>
  <si>
    <t>BBB</t>
  </si>
  <si>
    <t>CCC</t>
  </si>
  <si>
    <t>XXX</t>
  </si>
  <si>
    <t>YYYY</t>
  </si>
  <si>
    <t>Sr no</t>
  </si>
  <si>
    <t>Email ID</t>
  </si>
  <si>
    <t>Total No of Training Connects (Planned)</t>
  </si>
  <si>
    <t>Total Days completed</t>
  </si>
  <si>
    <t>Remaining Training Days</t>
  </si>
  <si>
    <t># Training Days Conducted</t>
  </si>
  <si>
    <t># Training Days attended</t>
  </si>
  <si>
    <t>Attendance %</t>
  </si>
  <si>
    <t>Spark Report card</t>
  </si>
  <si>
    <t>Spark Phase 1</t>
  </si>
  <si>
    <t>Training</t>
  </si>
  <si>
    <t>Total No. of days</t>
  </si>
  <si>
    <t>No. of days present</t>
  </si>
  <si>
    <t>No. of days absent</t>
  </si>
  <si>
    <t xml:space="preserve">Attendance Percentage </t>
  </si>
  <si>
    <t>Batch 1</t>
  </si>
  <si>
    <t>VVV</t>
  </si>
  <si>
    <t xml:space="preserve">S. No. </t>
  </si>
  <si>
    <t>Name of the student</t>
  </si>
  <si>
    <t xml:space="preserve">Trainer Name </t>
  </si>
  <si>
    <t>Role Play Evaluation</t>
  </si>
  <si>
    <t>Communication Skills</t>
  </si>
  <si>
    <t>Interpersonal Skills</t>
  </si>
  <si>
    <t>Business Etiquette</t>
  </si>
  <si>
    <t>Service Orientation</t>
  </si>
  <si>
    <t>Batch 7</t>
  </si>
  <si>
    <t>XXXX</t>
  </si>
  <si>
    <t>AAAA</t>
  </si>
  <si>
    <t>YYYYY</t>
  </si>
  <si>
    <t>BBBBB</t>
  </si>
  <si>
    <t>Rating based on activities and assignments conducted for each module</t>
  </si>
  <si>
    <t>Course Completion Status</t>
  </si>
  <si>
    <t>Rank</t>
  </si>
  <si>
    <t>Reevaluation Comments</t>
  </si>
  <si>
    <t>Total no. of days</t>
  </si>
  <si>
    <t>No. of days Present</t>
  </si>
  <si>
    <t>No. of days Absent</t>
  </si>
  <si>
    <t>Reason for absence</t>
  </si>
  <si>
    <t>PC Name</t>
  </si>
  <si>
    <t>Emotional Intelligence &amp; Empathy</t>
  </si>
  <si>
    <t>Accountability &amp; Ownership</t>
  </si>
  <si>
    <t>Presentation Skills</t>
  </si>
  <si>
    <t>Spark -  assessment Report</t>
  </si>
  <si>
    <t xml:space="preserve">Garde Assessment Report </t>
  </si>
  <si>
    <t>Course Name</t>
  </si>
  <si>
    <t>Test Name</t>
  </si>
  <si>
    <t>Start Time</t>
  </si>
  <si>
    <t>Submit Time</t>
  </si>
  <si>
    <t>Test Duration</t>
  </si>
  <si>
    <t>Total Marks</t>
  </si>
  <si>
    <t>Secured Marks</t>
  </si>
  <si>
    <t>Secured %</t>
  </si>
  <si>
    <t>Questions Skipped</t>
  </si>
  <si>
    <t>Questions Partial Correct</t>
  </si>
  <si>
    <t>Questions Not Viewed</t>
  </si>
  <si>
    <t>TabSwitched</t>
  </si>
  <si>
    <t>Suspicious Screenshots</t>
  </si>
  <si>
    <t>Low Quality</t>
  </si>
  <si>
    <t>Face Not Found</t>
  </si>
  <si>
    <t>Unknown Face</t>
  </si>
  <si>
    <t>User Distracted</t>
  </si>
  <si>
    <t>Confidence %</t>
  </si>
  <si>
    <t>Comments</t>
  </si>
  <si>
    <t>Share Link</t>
  </si>
  <si>
    <t>Hexaware Java Assessments</t>
  </si>
  <si>
    <t>Hexaware Jan Java GA1A1</t>
  </si>
  <si>
    <t>00:33:06</t>
  </si>
  <si>
    <t>Minimum suspicious activity</t>
  </si>
  <si>
    <t>00:39:31</t>
  </si>
  <si>
    <t>00:31:25</t>
  </si>
  <si>
    <t>Highly Suspicious</t>
  </si>
  <si>
    <t>yy</t>
  </si>
  <si>
    <t>zzz</t>
  </si>
  <si>
    <t xml:space="preserve">Stream Training Reports : </t>
  </si>
  <si>
    <t>Candidate_Name</t>
  </si>
  <si>
    <t>Candidate_Email_Address</t>
  </si>
  <si>
    <t>Candidate_Status</t>
  </si>
  <si>
    <t>Test_Id</t>
  </si>
  <si>
    <t>Test_Name</t>
  </si>
  <si>
    <t>Test_Status</t>
  </si>
  <si>
    <t>Test_Link_Name</t>
  </si>
  <si>
    <t>Test_Score</t>
  </si>
  <si>
    <t>Candidate_Score</t>
  </si>
  <si>
    <t>Percentage</t>
  </si>
  <si>
    <t>Performance_Category</t>
  </si>
  <si>
    <t xml:space="preserve">Total_Questions </t>
  </si>
  <si>
    <t>Test_Duration(minutes)</t>
  </si>
  <si>
    <t>Time_Taken(minutes)</t>
  </si>
  <si>
    <t>Candidate_Feedback</t>
  </si>
  <si>
    <t>Proctoring_Flag</t>
  </si>
  <si>
    <t>Window_Violation</t>
  </si>
  <si>
    <t>Time_Violation</t>
  </si>
  <si>
    <t>Applicant_ID</t>
  </si>
  <si>
    <t>Percentile</t>
  </si>
  <si>
    <t>Completion_Time_Flag</t>
  </si>
  <si>
    <t>Avg_Test_Time(Minutes)</t>
  </si>
  <si>
    <t>Strengths</t>
  </si>
  <si>
    <t>Areas of Improvement</t>
  </si>
  <si>
    <t>Test Navigation Type</t>
  </si>
  <si>
    <t/>
  </si>
  <si>
    <t>SQL- Data Engineering</t>
  </si>
  <si>
    <t>Completed</t>
  </si>
  <si>
    <t>Great</t>
  </si>
  <si>
    <t>Green</t>
  </si>
  <si>
    <t>Early Finisher</t>
  </si>
  <si>
    <t>SQL</t>
  </si>
  <si>
    <t>Fixed Section Order</t>
  </si>
  <si>
    <t>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</si>
</sst>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m/d/yy\ h:mm:ss"/>
    <numFmt numFmtId="167" formatCode="mm/dd/yy;@"/>
    <numFmt numFmtId="168" formatCode="[$-409]d\-mmm\-yy;@"/>
    <numFmt numFmtId="169" formatCode="m/d/yyyy\ h:mm:ss\ AM/PM"/>
    <numFmt numFmtId="170" formatCode="0.00%;\-0.00%;0.00%"/>
  </numFmts>
  <fonts count="27" x14ac:knownFonts="1">
    <font>
      <sz val="11"/>
      <color theme="1"/>
      <name val="Congenial"/>
      <family val="2"/>
    </font>
    <font>
      <sz val="11"/>
      <color theme="1"/>
      <name val="Congen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u/>
      <sz val="26"/>
      <color theme="1"/>
      <name val="Manrope"/>
    </font>
    <font>
      <b/>
      <sz val="14"/>
      <color theme="1"/>
      <name val="Manrope"/>
    </font>
    <font>
      <sz val="8"/>
      <name val="Manrope ExtraBold"/>
    </font>
    <font>
      <b/>
      <sz val="8"/>
      <name val="Manrope ExtraBold"/>
    </font>
    <font>
      <sz val="8"/>
      <color theme="1"/>
      <name val="Manrope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theme="1"/>
      <name val="Aptos Narrow"/>
      <family val="2"/>
      <scheme val="minor"/>
    </font>
    <font>
      <sz val="26"/>
      <color theme="1"/>
      <name val="Congen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242424"/>
      <name val="Aptos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sz val="11"/>
      <color rgb="FF009900"/>
      <name val="Calibri"/>
      <family val="2"/>
    </font>
    <font>
      <sz val="11"/>
      <color rgb="FFFF0000"/>
      <name val="Calibri"/>
      <family val="2"/>
    </font>
    <font>
      <b/>
      <sz val="20"/>
      <color theme="1"/>
      <name val="Congenial"/>
    </font>
    <font>
      <b/>
      <sz val="22"/>
      <color theme="1"/>
      <name val="Congenial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6DCE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2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5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0" fillId="0" borderId="0" xfId="0" applyNumberFormat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4" fontId="11" fillId="0" borderId="6" xfId="0" applyNumberFormat="1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/>
    <xf numFmtId="2" fontId="11" fillId="0" borderId="7" xfId="0" applyNumberFormat="1" applyFont="1" applyBorder="1"/>
    <xf numFmtId="2" fontId="11" fillId="0" borderId="6" xfId="0" applyNumberFormat="1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2" fillId="11" borderId="8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13" fillId="1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2" fontId="11" fillId="0" borderId="9" xfId="1" applyNumberFormat="1" applyFont="1" applyBorder="1"/>
    <xf numFmtId="2" fontId="11" fillId="0" borderId="9" xfId="1" applyNumberFormat="1" applyFont="1" applyBorder="1" applyAlignment="1">
      <alignment horizontal="center"/>
    </xf>
    <xf numFmtId="2" fontId="11" fillId="0" borderId="9" xfId="0" applyNumberFormat="1" applyFont="1" applyBorder="1"/>
    <xf numFmtId="2" fontId="11" fillId="0" borderId="1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2" fontId="11" fillId="0" borderId="10" xfId="0" applyNumberFormat="1" applyFont="1" applyBorder="1"/>
    <xf numFmtId="2" fontId="11" fillId="0" borderId="6" xfId="1" applyNumberFormat="1" applyFont="1" applyBorder="1"/>
    <xf numFmtId="2" fontId="11" fillId="0" borderId="6" xfId="1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center"/>
    </xf>
    <xf numFmtId="0" fontId="15" fillId="0" borderId="0" xfId="0" applyFont="1"/>
    <xf numFmtId="0" fontId="16" fillId="14" borderId="1" xfId="0" applyFont="1" applyFill="1" applyBorder="1" applyAlignment="1">
      <alignment horizontal="center"/>
    </xf>
    <xf numFmtId="9" fontId="18" fillId="15" borderId="11" xfId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167" fontId="0" fillId="11" borderId="1" xfId="0" applyNumberForma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167" fontId="6" fillId="16" borderId="1" xfId="0" applyNumberFormat="1" applyFont="1" applyFill="1" applyBorder="1" applyAlignment="1">
      <alignment horizontal="center" vertical="center"/>
    </xf>
    <xf numFmtId="167" fontId="6" fillId="10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7" fontId="6" fillId="1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9" fontId="20" fillId="0" borderId="10" xfId="2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168" fontId="22" fillId="0" borderId="1" xfId="0" applyNumberFormat="1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left"/>
    </xf>
    <xf numFmtId="0" fontId="5" fillId="3" borderId="1" xfId="0" applyFont="1" applyFill="1" applyBorder="1"/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0" fontId="25" fillId="0" borderId="0" xfId="0" applyFont="1"/>
    <xf numFmtId="0" fontId="26" fillId="0" borderId="0" xfId="0" applyFont="1"/>
    <xf numFmtId="0" fontId="22" fillId="18" borderId="16" xfId="0" applyFont="1" applyFill="1" applyBorder="1"/>
    <xf numFmtId="0" fontId="22" fillId="18" borderId="17" xfId="0" applyFont="1" applyFill="1" applyBorder="1"/>
    <xf numFmtId="0" fontId="0" fillId="0" borderId="16" xfId="0" applyBorder="1"/>
    <xf numFmtId="169" fontId="0" fillId="0" borderId="16" xfId="0" applyNumberFormat="1" applyBorder="1"/>
    <xf numFmtId="1" fontId="0" fillId="0" borderId="16" xfId="0" applyNumberFormat="1" applyBorder="1"/>
    <xf numFmtId="170" fontId="0" fillId="0" borderId="16" xfId="0" applyNumberFormat="1" applyBorder="1"/>
    <xf numFmtId="0" fontId="0" fillId="0" borderId="17" xfId="0" applyBorder="1"/>
    <xf numFmtId="0" fontId="22" fillId="0" borderId="1" xfId="0" applyFont="1" applyBorder="1"/>
    <xf numFmtId="15" fontId="0" fillId="0" borderId="1" xfId="0" applyNumberFormat="1" applyBorder="1" applyAlignment="1">
      <alignment horizontal="left"/>
    </xf>
  </cellXfs>
  <cellStyles count="3">
    <cellStyle name="Normal" xfId="0" builtinId="0"/>
    <cellStyle name="Percent" xfId="1" builtinId="5"/>
    <cellStyle name="Percent 2" xfId="2" xr:uid="{70BDBD14-9CE6-47C9-8B2D-35BCD8D4E959}"/>
  </cellStyles>
  <dxfs count="61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F9616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/>
        <i val="0"/>
        <color theme="5"/>
      </font>
    </dxf>
    <dxf>
      <font>
        <b/>
        <i val="0"/>
        <color rgb="FF00206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6"/>
      </font>
    </dxf>
    <dxf>
      <fill>
        <patternFill>
          <bgColor theme="5"/>
        </patternFill>
      </fill>
    </dxf>
    <dxf>
      <fill>
        <patternFill>
          <bgColor rgb="FFF9616F"/>
        </patternFill>
      </fill>
    </dxf>
    <dxf>
      <font>
        <b/>
        <i val="0"/>
        <color rgb="FF92D050"/>
      </font>
    </dxf>
    <dxf>
      <font>
        <b/>
        <i val="0"/>
        <color theme="5"/>
      </font>
    </dxf>
    <dxf>
      <font>
        <b/>
        <i val="0"/>
        <color rgb="FF00206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theme="6"/>
      </font>
    </dxf>
    <dxf>
      <fill>
        <patternFill>
          <bgColor theme="5"/>
        </patternFill>
      </fill>
    </dxf>
    <dxf>
      <fill>
        <patternFill>
          <bgColor rgb="FFF9616F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C1E5F5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auto="1"/>
      </font>
      <fill>
        <patternFill>
          <bgColor theme="7"/>
        </patternFill>
      </fill>
    </dxf>
    <dxf>
      <font>
        <b/>
        <i val="0"/>
        <color rgb="FF002060"/>
      </font>
      <fill>
        <patternFill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B581F-5B8D-45BC-8875-DB66AB6123FD}" name="Table1" displayName="Table1" ref="A1:P5" totalsRowShown="0">
  <autoFilter ref="A1:P5" xr:uid="{D38B581F-5B8D-45BC-8875-DB66AB6123FD}"/>
  <tableColumns count="16">
    <tableColumn id="1" xr3:uid="{92963186-46D0-44E0-AB17-38A53D80B540}" name="ID" dataDxfId="60"/>
    <tableColumn id="2" xr3:uid="{0BD8CA7F-515D-4ECE-960D-BC13DBEC38D2}" name="Start time" dataDxfId="59"/>
    <tableColumn id="3" xr3:uid="{E051F363-8FD9-4B2C-85A7-4FE153C495F6}" name="Completion time" dataDxfId="58"/>
    <tableColumn id="4" xr3:uid="{75D8E4DE-D862-4102-B161-4A29070420F8}" name="Email" dataDxfId="57"/>
    <tableColumn id="7" xr3:uid="{BC261A75-25F0-4553-8D7D-E3491955549D}" name="Name" dataDxfId="56"/>
    <tableColumn id="8" xr3:uid="{DAA451DC-F31B-41B1-90A4-7ABCAC8D7303}" name="Email Id:" dataDxfId="55"/>
    <tableColumn id="9" xr3:uid="{5E654057-37E6-47DE-BBC5-0393013EE8D7}" name="Batch No  and Trainer Name" dataDxfId="54"/>
    <tableColumn id="10" xr3:uid="{1513F32C-AC8F-4F74-A620-6CB35B15C7BB}" name="What are your Top 3 takeaways from this course?" dataDxfId="53"/>
    <tableColumn id="11" xr3:uid="{D875AB79-F8F7-4D49-8C27-F3CA23C3A9C2}" name="What could have been done better in this course?" dataDxfId="52"/>
    <tableColumn id="12" xr3:uid="{DBE17D3A-E9DC-44CD-9242-12749665736D}" name="What is the impact of this course on you?" dataDxfId="51"/>
    <tableColumn id="13" xr3:uid="{9EB80D95-FEA9-4769-BE1A-FE16C25BFC70}" name="Please rate the trainer's delivery and ability to handle the course and audience - 5 being the highest and 1 being the lowest rating:" dataDxfId="50"/>
    <tableColumn id="14" xr3:uid="{73C68B6F-D98F-4818-8DF2-292CDBEC7C22}" name="Did the assignments provided help you practice the concepts and understand the skill better?" dataDxfId="49"/>
    <tableColumn id="15" xr3:uid="{DAEF637B-C3F1-423F-8F89-B1DAD735BE2E}" name="Did the demonstrations and examples of the concepts provided during the session help you understand them?" dataDxfId="48"/>
    <tableColumn id="16" xr3:uid="{824FED0B-C0F0-49A6-821C-D2AA0CFF7130}" name="Was the support you received from the trainer regarding your lab, course, case study, or related support appropriate and provided on time?" dataDxfId="47"/>
    <tableColumn id="17" xr3:uid="{3CAD9F02-4B53-44E8-B843-0F291D64BB2D}" name="Do technical discussions happening on a daily basis help you understand the skill better?" dataDxfId="46"/>
    <tableColumn id="18" xr3:uid="{F6054937-E912-49FC-9B68-89871C355DF2}" name="Any other comments :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B3B9-F853-457C-90CD-57C43CB10BE7}">
  <dimension ref="A1:X6"/>
  <sheetViews>
    <sheetView workbookViewId="0">
      <selection activeCell="H9" sqref="H9"/>
    </sheetView>
  </sheetViews>
  <sheetFormatPr defaultRowHeight="14.5" x14ac:dyDescent="0.35"/>
  <cols>
    <col min="6" max="6" width="12.265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/>
      <c r="B2" s="3"/>
      <c r="C2" s="4" t="s">
        <v>24</v>
      </c>
      <c r="D2" s="2" t="s">
        <v>25</v>
      </c>
      <c r="E2" s="2" t="s">
        <v>26</v>
      </c>
      <c r="F2" s="5" t="s">
        <v>27</v>
      </c>
      <c r="G2" s="5" t="s">
        <v>28</v>
      </c>
      <c r="H2" s="6">
        <v>6</v>
      </c>
      <c r="I2" s="6">
        <v>6</v>
      </c>
      <c r="J2" s="7" t="s">
        <v>29</v>
      </c>
      <c r="K2" s="6"/>
      <c r="L2" s="8">
        <v>85</v>
      </c>
      <c r="M2" s="8">
        <v>85</v>
      </c>
      <c r="N2" s="8">
        <v>510</v>
      </c>
      <c r="O2" s="6"/>
      <c r="P2" s="6">
        <v>4.4000000000000004</v>
      </c>
      <c r="Q2" s="6">
        <v>4.5</v>
      </c>
      <c r="R2" s="6">
        <v>4.4000000000000004</v>
      </c>
      <c r="S2" s="6">
        <v>4.4000000000000004</v>
      </c>
      <c r="T2" s="6"/>
      <c r="U2" s="9"/>
      <c r="V2" s="4"/>
      <c r="W2" s="2"/>
      <c r="X2" s="8"/>
    </row>
    <row r="3" spans="1:24" x14ac:dyDescent="0.35">
      <c r="A3" s="2"/>
      <c r="B3" s="3"/>
      <c r="C3" s="4"/>
      <c r="D3" s="2"/>
      <c r="E3" s="10"/>
      <c r="F3" s="5"/>
      <c r="G3" s="5"/>
      <c r="H3" s="9"/>
      <c r="I3" s="9"/>
      <c r="J3" s="7"/>
      <c r="K3" s="6"/>
      <c r="L3" s="10"/>
      <c r="M3" s="10"/>
      <c r="N3" s="10"/>
      <c r="O3" s="6"/>
      <c r="P3" s="9"/>
      <c r="Q3" s="6"/>
      <c r="R3" s="6"/>
      <c r="S3" s="6"/>
      <c r="T3" s="6"/>
      <c r="U3" s="9"/>
      <c r="V3" s="4"/>
      <c r="W3" s="10"/>
      <c r="X3" s="8"/>
    </row>
    <row r="4" spans="1:24" x14ac:dyDescent="0.35">
      <c r="A4" s="2"/>
      <c r="B4" s="3"/>
      <c r="C4" s="4"/>
      <c r="D4" s="2"/>
      <c r="E4" s="10"/>
      <c r="F4" s="5"/>
      <c r="G4" s="5"/>
      <c r="H4" s="9"/>
      <c r="I4" s="9"/>
      <c r="J4" s="7"/>
      <c r="K4" s="6"/>
      <c r="L4" s="10"/>
      <c r="M4" s="10"/>
      <c r="N4" s="10"/>
      <c r="O4" s="6"/>
      <c r="P4" s="9"/>
      <c r="Q4" s="6"/>
      <c r="R4" s="6"/>
      <c r="S4" s="6"/>
      <c r="T4" s="6"/>
      <c r="U4" s="9"/>
      <c r="V4" s="4"/>
      <c r="W4" s="10"/>
      <c r="X4" s="8"/>
    </row>
    <row r="5" spans="1:24" x14ac:dyDescent="0.35">
      <c r="A5" s="2"/>
      <c r="B5" s="3"/>
      <c r="C5" s="4"/>
      <c r="D5" s="2"/>
      <c r="E5" s="10"/>
      <c r="F5" s="5"/>
      <c r="G5" s="5"/>
      <c r="H5" s="9"/>
      <c r="I5" s="9"/>
      <c r="J5" s="7"/>
      <c r="K5" s="9"/>
      <c r="L5" s="10"/>
      <c r="M5" s="10"/>
      <c r="N5" s="10"/>
      <c r="O5" s="6"/>
      <c r="P5" s="9"/>
      <c r="Q5" s="6"/>
      <c r="R5" s="6"/>
      <c r="S5" s="6"/>
      <c r="T5" s="6"/>
      <c r="U5" s="9"/>
      <c r="V5" s="4"/>
      <c r="W5" s="10"/>
      <c r="X5" s="10"/>
    </row>
    <row r="6" spans="1:24" x14ac:dyDescent="0.35">
      <c r="A6" s="2"/>
      <c r="B6" s="3"/>
      <c r="C6" s="4"/>
      <c r="D6" s="2"/>
      <c r="E6" s="10"/>
      <c r="F6" s="5"/>
      <c r="G6" s="5"/>
      <c r="H6" s="9"/>
      <c r="I6" s="9"/>
      <c r="J6" s="7"/>
      <c r="K6" s="9"/>
      <c r="L6" s="10"/>
      <c r="M6" s="10"/>
      <c r="N6" s="10"/>
      <c r="O6" s="6"/>
      <c r="P6" s="10"/>
      <c r="Q6" s="6"/>
      <c r="R6" s="6"/>
      <c r="S6" s="6"/>
      <c r="T6" s="6"/>
      <c r="U6" s="9"/>
      <c r="V6" s="4"/>
      <c r="W6" s="10"/>
      <c r="X6" s="10"/>
    </row>
  </sheetData>
  <conditionalFormatting sqref="P2:T2">
    <cfRule type="containsText" dxfId="44" priority="1" operator="containsText" text="NA">
      <formula>NOT(ISERROR(SEARCH("NA",P2)))</formula>
    </cfRule>
    <cfRule type="containsText" dxfId="43" priority="2" operator="containsText" text="YTR">
      <formula>NOT(ISERROR(SEARCH("YTR",P2)))</formula>
    </cfRule>
  </conditionalFormatting>
  <dataValidations count="8">
    <dataValidation type="list" allowBlank="1" showInputMessage="1" showErrorMessage="1" sqref="A2:A6" xr:uid="{41DB5514-80FF-47BA-9FD9-954338F999B2}">
      <formula1>"January, February, March, April, May, June, July, August,September,October,November, December"</formula1>
    </dataValidation>
    <dataValidation type="list" allowBlank="1" showInputMessage="1" showErrorMessage="1" sqref="O2:O6" xr:uid="{2930315E-2926-48DD-8C5E-9330269DCFA8}">
      <formula1>"Completed, In Progress, Planned"</formula1>
    </dataValidation>
    <dataValidation type="list" allowBlank="1" showInputMessage="1" showErrorMessage="1" sqref="V2:V6" xr:uid="{C052DFFF-6C0E-427B-A678-B2AFA7D97265}">
      <formula1>"Web-Ex/MS Teams, In Person"</formula1>
    </dataValidation>
    <dataValidation type="list" allowBlank="1" showInputMessage="1" showErrorMessage="1" sqref="B2:B6" xr:uid="{8810A372-16F9-4D71-8A42-C724D6507308}">
      <formula1>"Technical, Behavioural,Induction"</formula1>
    </dataValidation>
    <dataValidation type="list" allowBlank="1" showInputMessage="1" showErrorMessage="1" sqref="C2:C6" xr:uid="{E7565A04-807C-43B8-85DF-7B9CE63B288B}">
      <formula1>"Segue , Non Segue , Mavericks,HFX,HFL"</formula1>
    </dataValidation>
    <dataValidation type="list" allowBlank="1" showInputMessage="1" showErrorMessage="1" sqref="D2:D6" xr:uid="{0B14D4AE-DF37-4087-93EE-0F1C98021168}">
      <formula1>"Chennai,Mumbai,Pune,Ahmedabad,Noida"</formula1>
    </dataValidation>
    <dataValidation type="list" allowBlank="1" showInputMessage="1" showErrorMessage="1" sqref="J2:J6" xr:uid="{08105B1A-EE08-4222-8632-0786178A2EF6}">
      <formula1>"External,Hexavarsity,Unit/Competency"</formula1>
    </dataValidation>
    <dataValidation type="list" allowBlank="1" showInputMessage="1" showErrorMessage="1" sqref="U2:U6" xr:uid="{EA703788-E865-41A0-9B25-2CBD9C9634B2}">
      <formula1>"Sowmiya, Gani, Sudha"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EF6-5C4E-47BD-B9B3-A834D0DBC0E3}">
  <dimension ref="A1:AI8"/>
  <sheetViews>
    <sheetView workbookViewId="0">
      <selection activeCell="C12" sqref="C12"/>
    </sheetView>
  </sheetViews>
  <sheetFormatPr defaultRowHeight="14.5" x14ac:dyDescent="0.35"/>
  <cols>
    <col min="1" max="1" width="8.3984375" bestFit="1" customWidth="1"/>
    <col min="2" max="2" width="18.1328125" bestFit="1" customWidth="1"/>
    <col min="3" max="3" width="12.33203125" bestFit="1" customWidth="1"/>
    <col min="4" max="4" width="8.1328125" bestFit="1" customWidth="1"/>
    <col min="5" max="5" width="7.6640625" bestFit="1" customWidth="1"/>
  </cols>
  <sheetData>
    <row r="1" spans="1:35" x14ac:dyDescent="0.35">
      <c r="A1" s="83" t="s">
        <v>55</v>
      </c>
      <c r="B1" s="84"/>
      <c r="C1" s="84"/>
      <c r="D1" s="84"/>
      <c r="E1" s="84"/>
      <c r="F1" s="84"/>
      <c r="G1" s="84"/>
      <c r="H1" s="84"/>
      <c r="I1" s="84"/>
      <c r="J1" s="64">
        <f>COUNTIF(J5:J36,"P")+COUNTIF(J5:J36,"HDP")*0.5</f>
        <v>0</v>
      </c>
      <c r="K1" s="64">
        <f t="shared" ref="K1:AI1" si="0">COUNTIF(K5:K28,"P")+COUNTIF(K5:K28,"HDP")*0.5</f>
        <v>0</v>
      </c>
      <c r="L1" s="64">
        <f t="shared" si="0"/>
        <v>0</v>
      </c>
      <c r="M1" s="64">
        <f t="shared" si="0"/>
        <v>0</v>
      </c>
      <c r="N1" s="64">
        <f t="shared" si="0"/>
        <v>0</v>
      </c>
      <c r="O1" s="64">
        <f t="shared" si="0"/>
        <v>0</v>
      </c>
      <c r="P1" s="64">
        <f t="shared" si="0"/>
        <v>0</v>
      </c>
      <c r="Q1" s="64">
        <f t="shared" si="0"/>
        <v>0</v>
      </c>
      <c r="R1" s="64">
        <f t="shared" si="0"/>
        <v>0</v>
      </c>
      <c r="S1" s="64">
        <f t="shared" si="0"/>
        <v>0</v>
      </c>
      <c r="T1" s="64">
        <f t="shared" si="0"/>
        <v>0</v>
      </c>
      <c r="U1" s="64">
        <f t="shared" si="0"/>
        <v>0</v>
      </c>
      <c r="V1" s="64">
        <f t="shared" si="0"/>
        <v>0</v>
      </c>
      <c r="W1" s="64">
        <f t="shared" si="0"/>
        <v>0</v>
      </c>
      <c r="X1" s="64">
        <f t="shared" si="0"/>
        <v>0</v>
      </c>
      <c r="Y1" s="64">
        <f t="shared" si="0"/>
        <v>0</v>
      </c>
      <c r="Z1" s="64">
        <f t="shared" si="0"/>
        <v>0</v>
      </c>
      <c r="AA1" s="64">
        <f t="shared" si="0"/>
        <v>0</v>
      </c>
      <c r="AB1" s="64">
        <f t="shared" si="0"/>
        <v>0</v>
      </c>
      <c r="AC1" s="64">
        <f t="shared" si="0"/>
        <v>0</v>
      </c>
      <c r="AD1" s="64">
        <f t="shared" si="0"/>
        <v>0</v>
      </c>
      <c r="AE1" s="64">
        <f t="shared" si="0"/>
        <v>0</v>
      </c>
      <c r="AF1" s="64">
        <f t="shared" si="0"/>
        <v>0</v>
      </c>
      <c r="AG1" s="64">
        <f t="shared" si="0"/>
        <v>0</v>
      </c>
      <c r="AH1" s="64">
        <f t="shared" si="0"/>
        <v>0</v>
      </c>
      <c r="AI1" s="64">
        <f t="shared" si="0"/>
        <v>0</v>
      </c>
    </row>
    <row r="2" spans="1:35" x14ac:dyDescent="0.35">
      <c r="A2" s="83"/>
      <c r="B2" s="84"/>
      <c r="C2" s="84"/>
      <c r="D2" s="84"/>
      <c r="E2" s="84"/>
      <c r="F2" s="84"/>
      <c r="G2" s="84"/>
      <c r="H2" s="84"/>
      <c r="I2" s="84"/>
      <c r="J2" s="64">
        <f>COUNTIF(J5:J28,"A")</f>
        <v>0</v>
      </c>
      <c r="K2" s="64">
        <f t="shared" ref="K2:AI2" si="1">COUNTIF(K5:K28,"A")</f>
        <v>0</v>
      </c>
      <c r="L2" s="64">
        <f t="shared" si="1"/>
        <v>0</v>
      </c>
      <c r="M2" s="64">
        <f t="shared" si="1"/>
        <v>0</v>
      </c>
      <c r="N2" s="64">
        <f t="shared" si="1"/>
        <v>0</v>
      </c>
      <c r="O2" s="64">
        <f t="shared" si="1"/>
        <v>0</v>
      </c>
      <c r="P2" s="64">
        <f t="shared" si="1"/>
        <v>0</v>
      </c>
      <c r="Q2" s="64">
        <f t="shared" si="1"/>
        <v>0</v>
      </c>
      <c r="R2" s="64">
        <f t="shared" si="1"/>
        <v>0</v>
      </c>
      <c r="S2" s="64">
        <f t="shared" si="1"/>
        <v>0</v>
      </c>
      <c r="T2" s="64">
        <f t="shared" si="1"/>
        <v>0</v>
      </c>
      <c r="U2" s="64">
        <f t="shared" si="1"/>
        <v>0</v>
      </c>
      <c r="V2" s="64">
        <f t="shared" si="1"/>
        <v>0</v>
      </c>
      <c r="W2" s="64">
        <f t="shared" si="1"/>
        <v>0</v>
      </c>
      <c r="X2" s="64">
        <f t="shared" si="1"/>
        <v>0</v>
      </c>
      <c r="Y2" s="64">
        <f t="shared" si="1"/>
        <v>0</v>
      </c>
      <c r="Z2" s="64">
        <f t="shared" si="1"/>
        <v>0</v>
      </c>
      <c r="AA2" s="64">
        <f t="shared" si="1"/>
        <v>0</v>
      </c>
      <c r="AB2" s="64">
        <f t="shared" si="1"/>
        <v>0</v>
      </c>
      <c r="AC2" s="64">
        <f t="shared" si="1"/>
        <v>0</v>
      </c>
      <c r="AD2" s="64">
        <f t="shared" si="1"/>
        <v>0</v>
      </c>
      <c r="AE2" s="64">
        <f t="shared" si="1"/>
        <v>0</v>
      </c>
      <c r="AF2" s="64">
        <f t="shared" si="1"/>
        <v>0</v>
      </c>
      <c r="AG2" s="64">
        <f t="shared" si="1"/>
        <v>0</v>
      </c>
      <c r="AH2" s="64">
        <f t="shared" si="1"/>
        <v>0</v>
      </c>
      <c r="AI2" s="64">
        <f t="shared" si="1"/>
        <v>0</v>
      </c>
    </row>
    <row r="3" spans="1:35" x14ac:dyDescent="0.35">
      <c r="A3" s="85"/>
      <c r="B3" s="86"/>
      <c r="C3" s="86"/>
      <c r="D3" s="86"/>
      <c r="E3" s="86"/>
      <c r="F3" s="86"/>
      <c r="G3" s="86"/>
      <c r="H3" s="86"/>
      <c r="I3" s="86"/>
      <c r="J3" s="65">
        <f>(COUNTIF(J5:J28,"P")+COUNTIF(J5:J28,"HDP")*0.5)/(COUNTA($B$5:$B$28))</f>
        <v>0</v>
      </c>
      <c r="K3" s="65">
        <f t="shared" ref="K3:AI3" si="2">(COUNTIF(K5:K28,"P")+COUNTIF(K5:K28,"HDP")*0.5)/(COUNTA($B$5:$B$28))</f>
        <v>0</v>
      </c>
      <c r="L3" s="65">
        <f t="shared" si="2"/>
        <v>0</v>
      </c>
      <c r="M3" s="65">
        <f t="shared" si="2"/>
        <v>0</v>
      </c>
      <c r="N3" s="65">
        <f t="shared" si="2"/>
        <v>0</v>
      </c>
      <c r="O3" s="65">
        <f t="shared" si="2"/>
        <v>0</v>
      </c>
      <c r="P3" s="65">
        <f t="shared" si="2"/>
        <v>0</v>
      </c>
      <c r="Q3" s="65">
        <f t="shared" si="2"/>
        <v>0</v>
      </c>
      <c r="R3" s="65">
        <f t="shared" si="2"/>
        <v>0</v>
      </c>
      <c r="S3" s="65">
        <f t="shared" si="2"/>
        <v>0</v>
      </c>
      <c r="T3" s="65">
        <f t="shared" si="2"/>
        <v>0</v>
      </c>
      <c r="U3" s="65">
        <f t="shared" si="2"/>
        <v>0</v>
      </c>
      <c r="V3" s="65">
        <f t="shared" si="2"/>
        <v>0</v>
      </c>
      <c r="W3" s="65">
        <f t="shared" si="2"/>
        <v>0</v>
      </c>
      <c r="X3" s="65">
        <f t="shared" si="2"/>
        <v>0</v>
      </c>
      <c r="Y3" s="65">
        <f t="shared" si="2"/>
        <v>0</v>
      </c>
      <c r="Z3" s="65">
        <f t="shared" si="2"/>
        <v>0</v>
      </c>
      <c r="AA3" s="65">
        <f t="shared" si="2"/>
        <v>0</v>
      </c>
      <c r="AB3" s="65">
        <f t="shared" si="2"/>
        <v>0</v>
      </c>
      <c r="AC3" s="65">
        <f t="shared" si="2"/>
        <v>0</v>
      </c>
      <c r="AD3" s="65">
        <f t="shared" si="2"/>
        <v>0</v>
      </c>
      <c r="AE3" s="65">
        <f t="shared" si="2"/>
        <v>0</v>
      </c>
      <c r="AF3" s="65">
        <f t="shared" si="2"/>
        <v>0</v>
      </c>
      <c r="AG3" s="65">
        <f t="shared" si="2"/>
        <v>0</v>
      </c>
      <c r="AH3" s="65">
        <f t="shared" si="2"/>
        <v>0</v>
      </c>
      <c r="AI3" s="65">
        <f t="shared" si="2"/>
        <v>0</v>
      </c>
    </row>
    <row r="4" spans="1:35" ht="52" x14ac:dyDescent="0.35">
      <c r="A4" s="66" t="s">
        <v>120</v>
      </c>
      <c r="B4" s="66" t="s">
        <v>34</v>
      </c>
      <c r="C4" s="66" t="s">
        <v>121</v>
      </c>
      <c r="D4" s="67" t="s">
        <v>122</v>
      </c>
      <c r="E4" s="67" t="s">
        <v>123</v>
      </c>
      <c r="F4" s="67" t="s">
        <v>124</v>
      </c>
      <c r="G4" s="67" t="s">
        <v>125</v>
      </c>
      <c r="H4" s="67" t="s">
        <v>126</v>
      </c>
      <c r="I4" s="67" t="s">
        <v>127</v>
      </c>
      <c r="J4" s="68">
        <v>46114</v>
      </c>
      <c r="K4" s="69">
        <v>46119</v>
      </c>
      <c r="L4" s="70">
        <v>46120</v>
      </c>
      <c r="M4" s="70">
        <v>46121</v>
      </c>
      <c r="N4" s="69">
        <v>46127</v>
      </c>
      <c r="O4" s="71">
        <v>46128</v>
      </c>
      <c r="P4" s="69">
        <v>46132</v>
      </c>
      <c r="Q4" s="72">
        <v>46133</v>
      </c>
      <c r="R4" s="72">
        <v>46134</v>
      </c>
      <c r="S4" s="72">
        <v>46135</v>
      </c>
      <c r="T4" s="72">
        <v>46136</v>
      </c>
      <c r="U4" s="69">
        <v>46141</v>
      </c>
      <c r="V4" s="73">
        <v>46146</v>
      </c>
      <c r="W4" s="73">
        <v>46147</v>
      </c>
      <c r="X4" s="73">
        <v>46148</v>
      </c>
      <c r="Y4" s="73">
        <v>46149</v>
      </c>
      <c r="Z4" s="73">
        <v>46150</v>
      </c>
      <c r="AA4" s="74">
        <v>46155</v>
      </c>
      <c r="AB4" s="75">
        <v>46156</v>
      </c>
      <c r="AC4" s="74">
        <v>46161</v>
      </c>
      <c r="AD4" s="70">
        <v>46162</v>
      </c>
      <c r="AE4" s="70">
        <v>46163</v>
      </c>
      <c r="AF4" s="70">
        <v>46164</v>
      </c>
      <c r="AG4" s="70">
        <v>46167</v>
      </c>
      <c r="AH4" s="70">
        <v>46168</v>
      </c>
      <c r="AI4" s="69">
        <v>46171</v>
      </c>
    </row>
    <row r="5" spans="1:35" x14ac:dyDescent="0.35">
      <c r="A5" s="76">
        <v>1</v>
      </c>
      <c r="B5" s="77" t="s">
        <v>118</v>
      </c>
      <c r="C5" s="78" t="s">
        <v>49</v>
      </c>
      <c r="D5" s="79">
        <v>26</v>
      </c>
      <c r="E5" s="80">
        <f t="shared" ref="E5:E8" si="3">COUNTA(J5:AG5)</f>
        <v>0</v>
      </c>
      <c r="F5" s="80">
        <f t="shared" ref="F5:F8" si="4">D5-E5</f>
        <v>26</v>
      </c>
      <c r="G5" s="80">
        <f t="shared" ref="G5:G8" si="5">E5</f>
        <v>0</v>
      </c>
      <c r="H5" s="80">
        <f t="shared" ref="H5:H8" si="6">COUNTA(J5:AG5)-COUNTIF(J5:AG5,"A")</f>
        <v>0</v>
      </c>
      <c r="I5" s="81" t="e">
        <f t="shared" ref="I5:I8" si="7">H5/G5</f>
        <v>#DIV/0!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</row>
    <row r="6" spans="1:35" x14ac:dyDescent="0.35">
      <c r="A6" s="76">
        <v>2</v>
      </c>
      <c r="B6" s="77" t="s">
        <v>118</v>
      </c>
      <c r="C6" s="78" t="s">
        <v>49</v>
      </c>
      <c r="D6" s="79">
        <v>26</v>
      </c>
      <c r="E6" s="80">
        <f t="shared" si="3"/>
        <v>0</v>
      </c>
      <c r="F6" s="80">
        <f t="shared" si="4"/>
        <v>26</v>
      </c>
      <c r="G6" s="80">
        <f t="shared" si="5"/>
        <v>0</v>
      </c>
      <c r="H6" s="80">
        <f t="shared" si="6"/>
        <v>0</v>
      </c>
      <c r="I6" s="81" t="e">
        <f t="shared" si="7"/>
        <v>#DIV/0!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</row>
    <row r="7" spans="1:35" x14ac:dyDescent="0.35">
      <c r="A7" s="76">
        <v>3</v>
      </c>
      <c r="B7" s="77" t="s">
        <v>118</v>
      </c>
      <c r="C7" s="78" t="s">
        <v>49</v>
      </c>
      <c r="D7" s="79">
        <v>26</v>
      </c>
      <c r="E7" s="80">
        <f t="shared" si="3"/>
        <v>0</v>
      </c>
      <c r="F7" s="80">
        <f t="shared" si="4"/>
        <v>26</v>
      </c>
      <c r="G7" s="80">
        <f t="shared" si="5"/>
        <v>0</v>
      </c>
      <c r="H7" s="80">
        <f t="shared" si="6"/>
        <v>0</v>
      </c>
      <c r="I7" s="81" t="e">
        <f t="shared" si="7"/>
        <v>#DIV/0!</v>
      </c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</row>
    <row r="8" spans="1:35" x14ac:dyDescent="0.35">
      <c r="A8" s="76">
        <v>4</v>
      </c>
      <c r="B8" s="77" t="s">
        <v>118</v>
      </c>
      <c r="C8" s="78" t="s">
        <v>49</v>
      </c>
      <c r="D8" s="79">
        <v>26</v>
      </c>
      <c r="E8" s="80">
        <f t="shared" si="3"/>
        <v>0</v>
      </c>
      <c r="F8" s="80">
        <f t="shared" si="4"/>
        <v>26</v>
      </c>
      <c r="G8" s="80">
        <f t="shared" si="5"/>
        <v>0</v>
      </c>
      <c r="H8" s="80">
        <f t="shared" si="6"/>
        <v>0</v>
      </c>
      <c r="I8" s="81" t="e">
        <f t="shared" si="7"/>
        <v>#DIV/0!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</row>
  </sheetData>
  <mergeCells count="1">
    <mergeCell ref="A1:I3"/>
  </mergeCells>
  <conditionalFormatting sqref="J5:V8">
    <cfRule type="containsText" dxfId="39" priority="1" operator="containsText" text="Dropout">
      <formula>NOT(ISERROR(SEARCH("Dropout",J5)))</formula>
    </cfRule>
    <cfRule type="containsText" dxfId="38" priority="2" operator="containsText" text="A">
      <formula>NOT(ISERROR(SEARCH("A",J5)))</formula>
    </cfRule>
    <cfRule type="containsText" dxfId="37" priority="3" operator="containsText" text="P">
      <formula>NOT(ISERROR(SEARCH("P",J5)))</formula>
    </cfRule>
    <cfRule type="containsText" dxfId="36" priority="4" operator="containsText" text="Absent">
      <formula>NOT(ISERROR(SEARCH("Absent",J5)))</formula>
    </cfRule>
    <cfRule type="containsText" dxfId="35" priority="5" operator="containsText" text="Present">
      <formula>NOT(ISERROR(SEARCH("Present",J5)))</formula>
    </cfRule>
  </conditionalFormatting>
  <conditionalFormatting sqref="W5:AI8">
    <cfRule type="containsText" dxfId="34" priority="6" operator="containsText" text="Dropout">
      <formula>NOT(ISERROR(SEARCH("Dropout",W5)))</formula>
    </cfRule>
    <cfRule type="containsText" dxfId="33" priority="7" operator="containsText" text="A">
      <formula>NOT(ISERROR(SEARCH("A",W5)))</formula>
    </cfRule>
    <cfRule type="containsText" dxfId="32" priority="8" operator="containsText" text="P">
      <formula>NOT(ISERROR(SEARCH("P",W5)))</formula>
    </cfRule>
    <cfRule type="containsText" dxfId="31" priority="9" operator="containsText" text="Absent">
      <formula>NOT(ISERROR(SEARCH("Absent",W5)))</formula>
    </cfRule>
    <cfRule type="containsText" dxfId="30" priority="10" operator="containsText" text="Present">
      <formula>NOT(ISERROR(SEARCH("Present",W5)))</formula>
    </cfRule>
  </conditionalFormatting>
  <dataValidations count="1">
    <dataValidation type="list" allowBlank="1" showInputMessage="1" showErrorMessage="1" sqref="D4:E4" xr:uid="{C3C0401F-60A1-4290-ABB9-16A281744A9C}">
      <formula1>"P,A"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A6F8-0766-460D-92B1-EEC0FE3F0EF9}">
  <dimension ref="A1:P5"/>
  <sheetViews>
    <sheetView workbookViewId="0">
      <selection activeCell="F16" sqref="F16"/>
    </sheetView>
  </sheetViews>
  <sheetFormatPr defaultRowHeight="14.5" x14ac:dyDescent="0.35"/>
  <cols>
    <col min="1" max="1" width="3.9296875" bestFit="1" customWidth="1"/>
    <col min="2" max="2" width="12.33203125" bestFit="1" customWidth="1"/>
    <col min="3" max="3" width="14" bestFit="1" customWidth="1"/>
    <col min="4" max="4" width="8.796875" bestFit="1" customWidth="1"/>
    <col min="5" max="5" width="6.46484375" bestFit="1" customWidth="1"/>
    <col min="6" max="6" width="8.59765625" bestFit="1" customWidth="1"/>
    <col min="7" max="7" width="22.1328125" bestFit="1" customWidth="1"/>
    <col min="8" max="8" width="37.19921875" bestFit="1" customWidth="1"/>
    <col min="9" max="9" width="37" bestFit="1" customWidth="1"/>
    <col min="10" max="10" width="31.265625" bestFit="1" customWidth="1"/>
    <col min="11" max="11" width="94.59765625" bestFit="1" customWidth="1"/>
    <col min="12" max="12" width="68.46484375" bestFit="1" customWidth="1"/>
    <col min="13" max="13" width="80.53125" bestFit="1" customWidth="1"/>
    <col min="14" max="14" width="101.46484375" bestFit="1" customWidth="1"/>
    <col min="15" max="15" width="65.59765625" bestFit="1" customWidth="1"/>
    <col min="16" max="16" width="17.796875" bestFit="1" customWidth="1"/>
  </cols>
  <sheetData>
    <row r="1" spans="1:16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 x14ac:dyDescent="0.35">
      <c r="A2">
        <v>1</v>
      </c>
      <c r="B2" s="11">
        <v>46128.934039351901</v>
      </c>
      <c r="C2" s="11">
        <v>46128.937395833302</v>
      </c>
      <c r="D2" t="s">
        <v>46</v>
      </c>
      <c r="E2" t="s">
        <v>47</v>
      </c>
      <c r="F2" t="s">
        <v>48</v>
      </c>
      <c r="G2" t="s">
        <v>49</v>
      </c>
    </row>
    <row r="3" spans="1:16" x14ac:dyDescent="0.35">
      <c r="A3">
        <v>2</v>
      </c>
      <c r="B3" s="11">
        <v>46128.933229166701</v>
      </c>
      <c r="C3" s="11">
        <v>46128.942893518499</v>
      </c>
      <c r="D3" t="s">
        <v>46</v>
      </c>
      <c r="E3" t="s">
        <v>50</v>
      </c>
      <c r="F3" t="s">
        <v>48</v>
      </c>
      <c r="G3" t="s">
        <v>49</v>
      </c>
    </row>
    <row r="4" spans="1:16" x14ac:dyDescent="0.35">
      <c r="A4">
        <v>3</v>
      </c>
      <c r="B4" s="11">
        <v>46128.952187499999</v>
      </c>
      <c r="C4" s="11">
        <v>46128.955787036997</v>
      </c>
      <c r="D4" t="s">
        <v>46</v>
      </c>
      <c r="E4" t="s">
        <v>51</v>
      </c>
      <c r="F4" t="s">
        <v>48</v>
      </c>
      <c r="G4" t="s">
        <v>49</v>
      </c>
    </row>
    <row r="5" spans="1:16" x14ac:dyDescent="0.35">
      <c r="A5">
        <v>4</v>
      </c>
      <c r="B5" s="11">
        <v>46129.286851851903</v>
      </c>
      <c r="C5" s="11">
        <v>46129.289652777799</v>
      </c>
      <c r="D5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6C04-97E2-4758-93C2-15D784F13801}">
  <dimension ref="A1:BB29"/>
  <sheetViews>
    <sheetView workbookViewId="0">
      <selection activeCell="F27" sqref="F27:F29"/>
    </sheetView>
  </sheetViews>
  <sheetFormatPr defaultRowHeight="14.5" x14ac:dyDescent="0.35"/>
  <cols>
    <col min="1" max="1" width="3.1328125" bestFit="1" customWidth="1"/>
    <col min="2" max="2" width="5.796875" bestFit="1" customWidth="1"/>
    <col min="3" max="3" width="6.796875" bestFit="1" customWidth="1"/>
    <col min="4" max="4" width="4.1328125" bestFit="1" customWidth="1"/>
    <col min="5" max="5" width="10.33203125" bestFit="1" customWidth="1"/>
    <col min="6" max="6" width="21.19921875" bestFit="1" customWidth="1"/>
    <col min="7" max="7" width="19.9296875" bestFit="1" customWidth="1"/>
    <col min="8" max="8" width="11.86328125" bestFit="1" customWidth="1"/>
    <col min="9" max="9" width="9.1328125" bestFit="1" customWidth="1"/>
    <col min="10" max="10" width="10.53125" bestFit="1" customWidth="1"/>
    <col min="11" max="11" width="9.73046875" bestFit="1" customWidth="1"/>
    <col min="12" max="12" width="7.73046875" bestFit="1" customWidth="1"/>
    <col min="13" max="13" width="5.265625" bestFit="1" customWidth="1"/>
    <col min="14" max="14" width="8.73046875" bestFit="1" customWidth="1"/>
    <col min="15" max="15" width="3.53125" bestFit="1" customWidth="1"/>
    <col min="16" max="16" width="2.46484375" bestFit="1" customWidth="1"/>
    <col min="17" max="17" width="2.265625" bestFit="1" customWidth="1"/>
    <col min="18" max="18" width="2.46484375" bestFit="1" customWidth="1"/>
    <col min="19" max="19" width="2.265625" bestFit="1" customWidth="1"/>
    <col min="20" max="20" width="2.46484375" bestFit="1" customWidth="1"/>
    <col min="21" max="21" width="2.265625" bestFit="1" customWidth="1"/>
    <col min="22" max="22" width="2.46484375" bestFit="1" customWidth="1"/>
    <col min="23" max="23" width="2.265625" bestFit="1" customWidth="1"/>
    <col min="24" max="24" width="2.46484375" bestFit="1" customWidth="1"/>
    <col min="25" max="25" width="2.265625" bestFit="1" customWidth="1"/>
    <col min="26" max="26" width="2.46484375" bestFit="1" customWidth="1"/>
    <col min="27" max="27" width="2.265625" bestFit="1" customWidth="1"/>
    <col min="28" max="28" width="2.46484375" bestFit="1" customWidth="1"/>
    <col min="29" max="29" width="2.265625" bestFit="1" customWidth="1"/>
    <col min="30" max="30" width="2.46484375" bestFit="1" customWidth="1"/>
    <col min="31" max="31" width="2.265625" bestFit="1" customWidth="1"/>
    <col min="32" max="32" width="2.46484375" bestFit="1" customWidth="1"/>
    <col min="33" max="33" width="2.265625" bestFit="1" customWidth="1"/>
    <col min="34" max="34" width="2.46484375" bestFit="1" customWidth="1"/>
    <col min="35" max="35" width="2.265625" bestFit="1" customWidth="1"/>
    <col min="36" max="36" width="2.46484375" bestFit="1" customWidth="1"/>
    <col min="37" max="37" width="2.265625" bestFit="1" customWidth="1"/>
    <col min="38" max="38" width="2.46484375" bestFit="1" customWidth="1"/>
    <col min="39" max="39" width="2.265625" bestFit="1" customWidth="1"/>
    <col min="40" max="40" width="2.46484375" bestFit="1" customWidth="1"/>
    <col min="41" max="41" width="2.265625" bestFit="1" customWidth="1"/>
    <col min="42" max="42" width="2.46484375" bestFit="1" customWidth="1"/>
    <col min="43" max="43" width="2.265625" bestFit="1" customWidth="1"/>
    <col min="44" max="44" width="2.46484375" bestFit="1" customWidth="1"/>
    <col min="45" max="45" width="2.265625" bestFit="1" customWidth="1"/>
    <col min="46" max="46" width="2.46484375" bestFit="1" customWidth="1"/>
    <col min="47" max="47" width="2.265625" bestFit="1" customWidth="1"/>
    <col min="48" max="48" width="2.46484375" bestFit="1" customWidth="1"/>
    <col min="49" max="49" width="6.796875" bestFit="1" customWidth="1"/>
    <col min="50" max="50" width="10.6640625" bestFit="1" customWidth="1"/>
    <col min="51" max="51" width="8.9296875" bestFit="1" customWidth="1"/>
    <col min="52" max="52" width="10.3984375" bestFit="1" customWidth="1"/>
    <col min="53" max="53" width="5.6640625" bestFit="1" customWidth="1"/>
    <col min="54" max="54" width="6.73046875" bestFit="1" customWidth="1"/>
  </cols>
  <sheetData>
    <row r="1" spans="1:54" ht="38" thickBot="1" x14ac:dyDescent="0.4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4"/>
    </row>
    <row r="2" spans="1:54" ht="20.5" x14ac:dyDescent="0.35">
      <c r="A2" s="15" t="s">
        <v>53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 t="s">
        <v>54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7" t="s">
        <v>55</v>
      </c>
      <c r="AZ2" s="17"/>
      <c r="BA2" s="17"/>
      <c r="BB2" s="17"/>
    </row>
    <row r="3" spans="1:54" x14ac:dyDescent="0.35">
      <c r="A3" s="18" t="s">
        <v>56</v>
      </c>
      <c r="B3" s="19" t="s">
        <v>57</v>
      </c>
      <c r="C3" s="20" t="s">
        <v>58</v>
      </c>
      <c r="D3" s="20" t="s">
        <v>59</v>
      </c>
      <c r="E3" s="20" t="s">
        <v>34</v>
      </c>
      <c r="F3" s="20" t="s">
        <v>60</v>
      </c>
      <c r="G3" s="20" t="s">
        <v>61</v>
      </c>
      <c r="H3" s="20" t="s">
        <v>62</v>
      </c>
      <c r="I3" s="20" t="s">
        <v>63</v>
      </c>
      <c r="J3" s="20" t="s">
        <v>64</v>
      </c>
      <c r="K3" s="20" t="s">
        <v>65</v>
      </c>
      <c r="L3" s="20" t="s">
        <v>10</v>
      </c>
      <c r="M3" s="20" t="s">
        <v>66</v>
      </c>
      <c r="N3" s="20" t="s">
        <v>67</v>
      </c>
      <c r="O3" s="21" t="s">
        <v>68</v>
      </c>
      <c r="P3" s="21"/>
      <c r="Q3" s="21" t="s">
        <v>69</v>
      </c>
      <c r="R3" s="21"/>
      <c r="S3" s="21" t="s">
        <v>70</v>
      </c>
      <c r="T3" s="21"/>
      <c r="U3" s="21" t="s">
        <v>71</v>
      </c>
      <c r="V3" s="21"/>
      <c r="W3" s="21" t="s">
        <v>72</v>
      </c>
      <c r="X3" s="21"/>
      <c r="Y3" s="21" t="s">
        <v>73</v>
      </c>
      <c r="Z3" s="21"/>
      <c r="AA3" s="21" t="s">
        <v>74</v>
      </c>
      <c r="AB3" s="21"/>
      <c r="AC3" s="22" t="s">
        <v>75</v>
      </c>
      <c r="AD3" s="22"/>
      <c r="AE3" s="22" t="s">
        <v>76</v>
      </c>
      <c r="AF3" s="22"/>
      <c r="AG3" s="22" t="s">
        <v>77</v>
      </c>
      <c r="AH3" s="22"/>
      <c r="AI3" s="22" t="s">
        <v>78</v>
      </c>
      <c r="AJ3" s="22"/>
      <c r="AK3" s="22" t="s">
        <v>79</v>
      </c>
      <c r="AL3" s="22"/>
      <c r="AM3" s="22" t="s">
        <v>80</v>
      </c>
      <c r="AN3" s="22"/>
      <c r="AO3" s="22" t="s">
        <v>81</v>
      </c>
      <c r="AP3" s="22"/>
      <c r="AQ3" s="23" t="s">
        <v>82</v>
      </c>
      <c r="AR3" s="23"/>
      <c r="AS3" s="23" t="s">
        <v>82</v>
      </c>
      <c r="AT3" s="23"/>
      <c r="AU3" s="24" t="s">
        <v>83</v>
      </c>
      <c r="AV3" s="24"/>
      <c r="AW3" s="25" t="s">
        <v>84</v>
      </c>
      <c r="AX3" s="25" t="s">
        <v>85</v>
      </c>
      <c r="AY3" s="25" t="s">
        <v>86</v>
      </c>
      <c r="AZ3" s="25" t="s">
        <v>87</v>
      </c>
      <c r="BA3" s="25" t="s">
        <v>88</v>
      </c>
      <c r="BB3" s="25" t="s">
        <v>89</v>
      </c>
    </row>
    <row r="4" spans="1:54" x14ac:dyDescent="0.35">
      <c r="A4" s="18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6" t="s">
        <v>90</v>
      </c>
      <c r="P4" s="26" t="s">
        <v>91</v>
      </c>
      <c r="Q4" s="26" t="s">
        <v>90</v>
      </c>
      <c r="R4" s="26" t="s">
        <v>91</v>
      </c>
      <c r="S4" s="26" t="s">
        <v>90</v>
      </c>
      <c r="T4" s="26" t="s">
        <v>91</v>
      </c>
      <c r="U4" s="26" t="s">
        <v>90</v>
      </c>
      <c r="V4" s="26" t="s">
        <v>91</v>
      </c>
      <c r="W4" s="26" t="s">
        <v>90</v>
      </c>
      <c r="X4" s="26" t="s">
        <v>91</v>
      </c>
      <c r="Y4" s="26" t="s">
        <v>90</v>
      </c>
      <c r="Z4" s="26" t="s">
        <v>91</v>
      </c>
      <c r="AA4" s="26" t="s">
        <v>90</v>
      </c>
      <c r="AB4" s="26" t="s">
        <v>91</v>
      </c>
      <c r="AC4" s="26" t="s">
        <v>90</v>
      </c>
      <c r="AD4" s="26" t="s">
        <v>91</v>
      </c>
      <c r="AE4" s="26" t="s">
        <v>90</v>
      </c>
      <c r="AF4" s="26" t="s">
        <v>91</v>
      </c>
      <c r="AG4" s="26" t="s">
        <v>90</v>
      </c>
      <c r="AH4" s="26" t="s">
        <v>91</v>
      </c>
      <c r="AI4" s="26" t="s">
        <v>90</v>
      </c>
      <c r="AJ4" s="26" t="s">
        <v>91</v>
      </c>
      <c r="AK4" s="26" t="s">
        <v>90</v>
      </c>
      <c r="AL4" s="26" t="s">
        <v>91</v>
      </c>
      <c r="AM4" s="26" t="s">
        <v>90</v>
      </c>
      <c r="AN4" s="26" t="s">
        <v>91</v>
      </c>
      <c r="AO4" s="26" t="s">
        <v>90</v>
      </c>
      <c r="AP4" s="26" t="s">
        <v>91</v>
      </c>
      <c r="AQ4" s="26" t="s">
        <v>90</v>
      </c>
      <c r="AR4" s="26" t="s">
        <v>91</v>
      </c>
      <c r="AS4" s="26" t="s">
        <v>90</v>
      </c>
      <c r="AT4" s="26" t="s">
        <v>91</v>
      </c>
      <c r="AU4" s="26" t="s">
        <v>90</v>
      </c>
      <c r="AV4" s="26" t="s">
        <v>91</v>
      </c>
      <c r="AW4" s="25"/>
      <c r="AX4" s="25"/>
      <c r="AY4" s="25"/>
      <c r="AZ4" s="25"/>
      <c r="BA4" s="25"/>
      <c r="BB4" s="25"/>
    </row>
    <row r="5" spans="1:54" x14ac:dyDescent="0.35">
      <c r="A5" s="27">
        <v>1</v>
      </c>
      <c r="B5" s="31">
        <v>46142</v>
      </c>
      <c r="C5" s="28" t="s">
        <v>114</v>
      </c>
      <c r="D5" s="29"/>
      <c r="E5" s="30"/>
      <c r="F5" s="27"/>
      <c r="G5" s="27"/>
      <c r="H5" s="27"/>
      <c r="I5" s="27"/>
      <c r="J5" s="31"/>
      <c r="K5" s="31"/>
      <c r="L5" s="32"/>
      <c r="M5" s="33"/>
      <c r="N5" s="33"/>
      <c r="O5" s="34"/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3"/>
      <c r="AX5" s="32"/>
      <c r="AY5" s="32"/>
      <c r="AZ5" s="32"/>
      <c r="BA5" s="32"/>
      <c r="BB5" s="32"/>
    </row>
    <row r="6" spans="1:54" x14ac:dyDescent="0.35">
      <c r="A6" s="27">
        <v>2</v>
      </c>
      <c r="B6" s="27"/>
      <c r="C6" s="28" t="s">
        <v>115</v>
      </c>
      <c r="D6" s="29"/>
      <c r="E6" s="30"/>
      <c r="F6" s="27"/>
      <c r="G6" s="27"/>
      <c r="H6" s="27"/>
      <c r="I6" s="27"/>
      <c r="J6" s="31"/>
      <c r="K6" s="31"/>
      <c r="L6" s="32"/>
      <c r="M6" s="33"/>
      <c r="N6" s="33"/>
      <c r="O6" s="34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3"/>
      <c r="AX6" s="32"/>
      <c r="AY6" s="32"/>
      <c r="AZ6" s="32"/>
      <c r="BA6" s="32"/>
      <c r="BB6" s="32"/>
    </row>
    <row r="7" spans="1:54" x14ac:dyDescent="0.35">
      <c r="A7" s="27">
        <v>3</v>
      </c>
      <c r="B7" s="27"/>
      <c r="C7" s="28" t="s">
        <v>116</v>
      </c>
      <c r="D7" s="29"/>
      <c r="E7" s="30"/>
      <c r="F7" s="27"/>
      <c r="G7" s="27"/>
      <c r="H7" s="27"/>
      <c r="I7" s="27"/>
      <c r="J7" s="31"/>
      <c r="K7" s="31"/>
      <c r="L7" s="32"/>
      <c r="M7" s="33"/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3"/>
      <c r="AX7" s="32"/>
      <c r="AY7" s="32"/>
      <c r="AZ7" s="32"/>
      <c r="BA7" s="32"/>
      <c r="BB7" s="32"/>
    </row>
    <row r="8" spans="1:54" x14ac:dyDescent="0.35">
      <c r="A8" s="27"/>
      <c r="B8" s="27"/>
      <c r="C8" s="28" t="s">
        <v>117</v>
      </c>
      <c r="D8" s="29"/>
      <c r="E8" s="30"/>
      <c r="F8" s="27"/>
      <c r="G8" s="27"/>
      <c r="H8" s="27"/>
      <c r="I8" s="27"/>
      <c r="J8" s="31"/>
      <c r="K8" s="31"/>
      <c r="L8" s="32"/>
      <c r="M8" s="33"/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3"/>
      <c r="AX8" s="32"/>
      <c r="AY8" s="32"/>
      <c r="AZ8" s="32"/>
      <c r="BA8" s="32"/>
      <c r="BB8" s="32"/>
    </row>
    <row r="9" spans="1:54" x14ac:dyDescent="0.35">
      <c r="A9" s="27"/>
      <c r="B9" s="27"/>
      <c r="C9" s="28"/>
      <c r="D9" s="29"/>
      <c r="E9" s="30"/>
      <c r="F9" s="27"/>
      <c r="G9" s="27"/>
      <c r="H9" s="27"/>
      <c r="I9" s="27"/>
      <c r="J9" s="31"/>
      <c r="K9" s="31"/>
      <c r="L9" s="32"/>
      <c r="M9" s="33"/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3"/>
      <c r="AX9" s="32"/>
      <c r="AY9" s="32"/>
      <c r="AZ9" s="32"/>
      <c r="BA9" s="32"/>
      <c r="BB9" s="32"/>
    </row>
    <row r="11" spans="1:54" ht="33" x14ac:dyDescent="0.7">
      <c r="A11" s="63" t="s">
        <v>113</v>
      </c>
    </row>
    <row r="12" spans="1:54" x14ac:dyDescent="0.35">
      <c r="A12" s="37"/>
      <c r="B12" s="37"/>
      <c r="C12" s="37"/>
      <c r="D12" s="37"/>
      <c r="E12" s="37"/>
      <c r="F12" s="38"/>
      <c r="G12" s="38"/>
      <c r="H12" s="38"/>
      <c r="I12" s="38"/>
      <c r="J12" s="39" t="s">
        <v>93</v>
      </c>
      <c r="K12" s="39"/>
      <c r="L12" s="39" t="s">
        <v>94</v>
      </c>
      <c r="M12" s="39"/>
      <c r="N12" s="39" t="s">
        <v>95</v>
      </c>
      <c r="O12" s="39"/>
      <c r="P12" s="39" t="s">
        <v>96</v>
      </c>
      <c r="Q12" s="39"/>
      <c r="R12" s="39" t="s">
        <v>97</v>
      </c>
      <c r="S12" s="39"/>
      <c r="T12" s="40" t="s">
        <v>98</v>
      </c>
      <c r="U12" s="41"/>
      <c r="V12" s="37" t="s">
        <v>99</v>
      </c>
      <c r="W12" s="37"/>
      <c r="X12" s="42" t="s">
        <v>67</v>
      </c>
    </row>
    <row r="13" spans="1:54" x14ac:dyDescent="0.35">
      <c r="A13" s="43" t="s">
        <v>58</v>
      </c>
      <c r="B13" s="43" t="s">
        <v>100</v>
      </c>
      <c r="C13" s="43" t="s">
        <v>101</v>
      </c>
      <c r="D13" s="43" t="s">
        <v>102</v>
      </c>
      <c r="E13" s="44" t="s">
        <v>103</v>
      </c>
      <c r="F13" s="45" t="s">
        <v>104</v>
      </c>
      <c r="G13" s="45" t="s">
        <v>105</v>
      </c>
      <c r="H13" s="45" t="s">
        <v>106</v>
      </c>
      <c r="I13" s="45" t="s">
        <v>107</v>
      </c>
      <c r="J13" s="46" t="s">
        <v>108</v>
      </c>
      <c r="K13" s="46" t="s">
        <v>109</v>
      </c>
      <c r="L13" s="47" t="s">
        <v>108</v>
      </c>
      <c r="M13" s="47" t="s">
        <v>109</v>
      </c>
      <c r="N13" s="47" t="s">
        <v>108</v>
      </c>
      <c r="O13" s="47" t="s">
        <v>109</v>
      </c>
      <c r="P13" s="47" t="s">
        <v>108</v>
      </c>
      <c r="Q13" s="47" t="s">
        <v>109</v>
      </c>
      <c r="R13" s="47" t="s">
        <v>108</v>
      </c>
      <c r="S13" s="47" t="s">
        <v>109</v>
      </c>
      <c r="T13" s="47" t="s">
        <v>108</v>
      </c>
      <c r="U13" s="47" t="s">
        <v>109</v>
      </c>
      <c r="V13" s="48" t="s">
        <v>108</v>
      </c>
      <c r="W13" s="49" t="s">
        <v>109</v>
      </c>
      <c r="X13" s="50"/>
    </row>
    <row r="14" spans="1:54" x14ac:dyDescent="0.35">
      <c r="A14" s="38"/>
      <c r="B14" s="38"/>
      <c r="C14" s="38"/>
      <c r="D14" s="38"/>
      <c r="E14" s="38"/>
      <c r="F14" s="51"/>
      <c r="G14" s="52"/>
      <c r="H14" s="52"/>
      <c r="I14" s="52"/>
      <c r="J14" s="53"/>
      <c r="K14" s="54"/>
      <c r="L14" s="55"/>
      <c r="M14" s="55"/>
      <c r="N14" s="55"/>
      <c r="O14" s="55"/>
      <c r="P14" s="56"/>
      <c r="Q14" s="56"/>
      <c r="R14" s="57"/>
      <c r="S14" s="56"/>
      <c r="T14" s="34"/>
      <c r="U14" s="58"/>
      <c r="V14" s="58"/>
      <c r="W14" s="59"/>
      <c r="X14" s="38"/>
    </row>
    <row r="15" spans="1:54" x14ac:dyDescent="0.35">
      <c r="A15" s="38"/>
      <c r="B15" s="38"/>
      <c r="C15" s="38"/>
      <c r="D15" s="38"/>
      <c r="E15" s="38"/>
      <c r="F15" s="51"/>
      <c r="G15" s="52"/>
      <c r="H15" s="52"/>
      <c r="I15" s="52"/>
      <c r="J15" s="60"/>
      <c r="K15" s="61"/>
      <c r="L15" s="36"/>
      <c r="M15" s="36"/>
      <c r="N15" s="55"/>
      <c r="O15" s="55"/>
      <c r="P15" s="56"/>
      <c r="Q15" s="56"/>
      <c r="R15" s="57"/>
      <c r="S15" s="56"/>
      <c r="T15" s="34"/>
      <c r="U15" s="58"/>
      <c r="V15" s="58"/>
      <c r="W15" s="59"/>
      <c r="X15" s="38"/>
    </row>
    <row r="16" spans="1:54" x14ac:dyDescent="0.35">
      <c r="A16" s="38"/>
      <c r="B16" s="38"/>
      <c r="C16" s="38"/>
      <c r="D16" s="38"/>
      <c r="E16" s="38"/>
      <c r="F16" s="51"/>
      <c r="G16" s="52"/>
      <c r="H16" s="52"/>
      <c r="I16" s="52"/>
      <c r="J16" s="60"/>
      <c r="K16" s="61"/>
      <c r="L16" s="36"/>
      <c r="M16" s="36"/>
      <c r="N16" s="55"/>
      <c r="O16" s="55"/>
      <c r="P16" s="56"/>
      <c r="Q16" s="56"/>
      <c r="R16" s="57"/>
      <c r="S16" s="57"/>
      <c r="T16" s="34"/>
      <c r="U16" s="58"/>
      <c r="V16" s="34"/>
      <c r="W16" s="56"/>
      <c r="X16" s="38"/>
    </row>
    <row r="17" spans="1:24" x14ac:dyDescent="0.35">
      <c r="A17" s="38"/>
      <c r="B17" s="38"/>
      <c r="C17" s="38"/>
      <c r="D17" s="38"/>
      <c r="E17" s="38"/>
      <c r="F17" s="51"/>
      <c r="G17" s="52"/>
      <c r="H17" s="52"/>
      <c r="I17" s="52"/>
      <c r="J17" s="60"/>
      <c r="K17" s="61"/>
      <c r="L17" s="36"/>
      <c r="M17" s="36"/>
      <c r="N17" s="36"/>
      <c r="O17" s="36"/>
      <c r="P17" s="56"/>
      <c r="Q17" s="56"/>
      <c r="R17" s="56"/>
      <c r="S17" s="56"/>
      <c r="T17" s="56"/>
      <c r="U17" s="58"/>
      <c r="V17" s="62"/>
      <c r="W17" s="62"/>
      <c r="X17" s="38"/>
    </row>
    <row r="18" spans="1:24" x14ac:dyDescent="0.35">
      <c r="A18" s="38"/>
      <c r="B18" s="38"/>
      <c r="C18" s="38"/>
      <c r="D18" s="38"/>
      <c r="E18" s="38"/>
      <c r="F18" s="51"/>
      <c r="G18" s="52"/>
      <c r="H18" s="52"/>
      <c r="I18" s="52"/>
      <c r="J18" s="60"/>
      <c r="K18" s="61"/>
      <c r="L18" s="36"/>
      <c r="M18" s="36"/>
      <c r="N18" s="55"/>
      <c r="O18" s="55"/>
      <c r="P18" s="56"/>
      <c r="Q18" s="56"/>
      <c r="R18" s="57"/>
      <c r="S18" s="57"/>
      <c r="T18" s="34"/>
      <c r="U18" s="58"/>
      <c r="V18" s="58"/>
      <c r="W18" s="59"/>
      <c r="X18" s="38"/>
    </row>
    <row r="20" spans="1:24" ht="33" x14ac:dyDescent="0.7">
      <c r="A20" s="63" t="s">
        <v>128</v>
      </c>
    </row>
    <row r="21" spans="1:24" ht="15" thickBot="1" x14ac:dyDescent="0.4"/>
    <row r="22" spans="1:24" ht="15" thickBot="1" x14ac:dyDescent="0.4">
      <c r="A22" s="87" t="s">
        <v>129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</row>
    <row r="23" spans="1:24" x14ac:dyDescent="0.35">
      <c r="A23" s="89" t="s">
        <v>53</v>
      </c>
      <c r="B23" s="89"/>
      <c r="C23" s="89"/>
      <c r="D23" s="89"/>
      <c r="E23" s="89"/>
      <c r="F23" s="89"/>
      <c r="G23" s="89"/>
      <c r="H23" s="89"/>
      <c r="I23" s="89"/>
      <c r="J23" s="89"/>
      <c r="K23" s="90" t="s">
        <v>54</v>
      </c>
      <c r="L23" s="90"/>
      <c r="M23" s="90"/>
      <c r="N23" s="90"/>
      <c r="O23" s="90"/>
      <c r="P23" s="91" t="s">
        <v>55</v>
      </c>
      <c r="Q23" s="91"/>
      <c r="R23" s="91"/>
      <c r="S23" s="91"/>
    </row>
    <row r="24" spans="1:24" x14ac:dyDescent="0.35">
      <c r="A24" s="92" t="s">
        <v>56</v>
      </c>
      <c r="B24" s="93" t="s">
        <v>58</v>
      </c>
      <c r="C24" s="93" t="s">
        <v>34</v>
      </c>
      <c r="D24" s="93" t="s">
        <v>60</v>
      </c>
      <c r="E24" s="94" t="s">
        <v>61</v>
      </c>
      <c r="F24" s="93" t="s">
        <v>130</v>
      </c>
      <c r="G24" s="95" t="s">
        <v>64</v>
      </c>
      <c r="H24" s="95" t="s">
        <v>65</v>
      </c>
      <c r="I24" s="93" t="s">
        <v>10</v>
      </c>
      <c r="J24" s="93" t="s">
        <v>66</v>
      </c>
      <c r="K24" s="93" t="s">
        <v>67</v>
      </c>
      <c r="L24" s="96" t="s">
        <v>129</v>
      </c>
      <c r="M24" s="96"/>
      <c r="N24" s="93" t="s">
        <v>84</v>
      </c>
      <c r="O24" s="93" t="s">
        <v>85</v>
      </c>
      <c r="P24" s="93" t="s">
        <v>131</v>
      </c>
      <c r="Q24" s="93" t="s">
        <v>132</v>
      </c>
      <c r="R24" s="93" t="s">
        <v>133</v>
      </c>
      <c r="S24" s="93" t="s">
        <v>134</v>
      </c>
    </row>
    <row r="25" spans="1:24" x14ac:dyDescent="0.35">
      <c r="A25" s="92"/>
      <c r="B25" s="93"/>
      <c r="C25" s="93"/>
      <c r="D25" s="93"/>
      <c r="E25" s="97"/>
      <c r="F25" s="93"/>
      <c r="G25" s="95"/>
      <c r="H25" s="95"/>
      <c r="I25" s="93"/>
      <c r="J25" s="93"/>
      <c r="K25" s="93"/>
      <c r="L25" s="98" t="s">
        <v>90</v>
      </c>
      <c r="M25" s="98" t="s">
        <v>91</v>
      </c>
      <c r="N25" s="93"/>
      <c r="O25" s="93"/>
      <c r="P25" s="93"/>
      <c r="Q25" s="93"/>
      <c r="R25" s="93"/>
      <c r="S25" s="93"/>
    </row>
    <row r="26" spans="1:24" x14ac:dyDescent="0.35">
      <c r="A26" s="9">
        <v>1</v>
      </c>
      <c r="B26" s="2">
        <v>123</v>
      </c>
      <c r="C26" s="2" t="s">
        <v>48</v>
      </c>
      <c r="D26" s="2"/>
      <c r="E26" s="2"/>
      <c r="F26" s="10" t="s">
        <v>129</v>
      </c>
      <c r="G26" s="99">
        <v>45922</v>
      </c>
      <c r="H26" s="99">
        <v>45930</v>
      </c>
      <c r="I26" s="100"/>
      <c r="J26" s="10" t="s">
        <v>135</v>
      </c>
      <c r="K26" s="10" t="s">
        <v>92</v>
      </c>
      <c r="L26" s="2"/>
      <c r="M26" s="2" t="s">
        <v>110</v>
      </c>
      <c r="N26" s="101" t="s">
        <v>112</v>
      </c>
      <c r="O26" s="10" t="s">
        <v>110</v>
      </c>
      <c r="P26" s="9">
        <v>7</v>
      </c>
      <c r="Q26" s="9">
        <v>7</v>
      </c>
      <c r="R26" s="9">
        <v>0</v>
      </c>
      <c r="S26" s="9">
        <v>100</v>
      </c>
    </row>
    <row r="27" spans="1:24" x14ac:dyDescent="0.35">
      <c r="A27" s="9">
        <v>2</v>
      </c>
      <c r="B27" s="2">
        <v>124</v>
      </c>
      <c r="C27" s="2" t="s">
        <v>49</v>
      </c>
      <c r="D27" s="2"/>
      <c r="E27" s="2"/>
      <c r="F27" s="10"/>
      <c r="G27" s="99">
        <v>45922</v>
      </c>
      <c r="H27" s="99">
        <v>45930</v>
      </c>
      <c r="I27" s="100"/>
      <c r="J27" s="10" t="s">
        <v>135</v>
      </c>
      <c r="K27" s="10" t="s">
        <v>92</v>
      </c>
      <c r="L27" s="2"/>
      <c r="M27" s="2" t="s">
        <v>110</v>
      </c>
      <c r="N27" s="101" t="s">
        <v>112</v>
      </c>
      <c r="O27" s="10" t="s">
        <v>110</v>
      </c>
      <c r="P27" s="9">
        <v>7</v>
      </c>
      <c r="Q27" s="9">
        <v>7</v>
      </c>
      <c r="R27" s="9">
        <v>0</v>
      </c>
      <c r="S27" s="9">
        <v>100</v>
      </c>
    </row>
    <row r="28" spans="1:24" x14ac:dyDescent="0.35">
      <c r="A28" s="9">
        <v>3</v>
      </c>
      <c r="B28" s="2">
        <v>1314</v>
      </c>
      <c r="C28" s="2" t="s">
        <v>118</v>
      </c>
      <c r="D28" s="2"/>
      <c r="E28" s="2"/>
      <c r="F28" s="10"/>
      <c r="G28" s="99">
        <v>45922</v>
      </c>
      <c r="H28" s="99">
        <v>45930</v>
      </c>
      <c r="I28" s="100"/>
      <c r="J28" s="10" t="s">
        <v>135</v>
      </c>
      <c r="K28" s="10" t="s">
        <v>92</v>
      </c>
      <c r="L28" s="2"/>
      <c r="M28" s="2" t="s">
        <v>110</v>
      </c>
      <c r="N28" s="101" t="s">
        <v>112</v>
      </c>
      <c r="O28" s="10" t="s">
        <v>110</v>
      </c>
      <c r="P28" s="9">
        <v>7</v>
      </c>
      <c r="Q28" s="9">
        <v>7</v>
      </c>
      <c r="R28" s="9">
        <v>0</v>
      </c>
      <c r="S28" s="9">
        <v>100</v>
      </c>
    </row>
    <row r="29" spans="1:24" x14ac:dyDescent="0.35">
      <c r="A29" s="9">
        <v>4</v>
      </c>
      <c r="B29" s="2">
        <v>1313</v>
      </c>
      <c r="C29" s="2" t="s">
        <v>136</v>
      </c>
      <c r="D29" s="2"/>
      <c r="E29" s="2"/>
      <c r="F29" s="10"/>
      <c r="G29" s="99">
        <v>45922</v>
      </c>
      <c r="H29" s="99">
        <v>45930</v>
      </c>
      <c r="I29" s="100"/>
      <c r="J29" s="10" t="s">
        <v>135</v>
      </c>
      <c r="K29" s="10" t="s">
        <v>92</v>
      </c>
      <c r="L29" s="2"/>
      <c r="M29" s="2" t="s">
        <v>110</v>
      </c>
      <c r="N29" s="101" t="s">
        <v>112</v>
      </c>
      <c r="O29" s="10" t="s">
        <v>110</v>
      </c>
      <c r="P29" s="9">
        <v>7</v>
      </c>
      <c r="Q29" s="9">
        <v>7</v>
      </c>
      <c r="R29" s="9">
        <v>0</v>
      </c>
      <c r="S29" s="9">
        <v>100</v>
      </c>
    </row>
  </sheetData>
  <mergeCells count="70">
    <mergeCell ref="N24:N25"/>
    <mergeCell ref="O24:O25"/>
    <mergeCell ref="P24:P25"/>
    <mergeCell ref="Q24:Q25"/>
    <mergeCell ref="R24:R25"/>
    <mergeCell ref="S24:S25"/>
    <mergeCell ref="G24:G25"/>
    <mergeCell ref="H24:H25"/>
    <mergeCell ref="I24:I25"/>
    <mergeCell ref="J24:J25"/>
    <mergeCell ref="K24:K25"/>
    <mergeCell ref="L24:M24"/>
    <mergeCell ref="A22:S22"/>
    <mergeCell ref="A23:J23"/>
    <mergeCell ref="K23:O23"/>
    <mergeCell ref="P23:S23"/>
    <mergeCell ref="A24:A25"/>
    <mergeCell ref="B24:B25"/>
    <mergeCell ref="C24:C25"/>
    <mergeCell ref="D24:D25"/>
    <mergeCell ref="E24:E25"/>
    <mergeCell ref="F24:F25"/>
    <mergeCell ref="BA3:BA4"/>
    <mergeCell ref="BB3:BB4"/>
    <mergeCell ref="J12:K12"/>
    <mergeCell ref="L12:M12"/>
    <mergeCell ref="N12:O12"/>
    <mergeCell ref="P12:Q12"/>
    <mergeCell ref="R12:S12"/>
    <mergeCell ref="T12:U12"/>
    <mergeCell ref="X12:X13"/>
    <mergeCell ref="AS3:AT3"/>
    <mergeCell ref="AU3:AV3"/>
    <mergeCell ref="AW3:AW4"/>
    <mergeCell ref="AX3:AX4"/>
    <mergeCell ref="AY3:AY4"/>
    <mergeCell ref="AZ3:AZ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L3:L4"/>
    <mergeCell ref="M3:M4"/>
    <mergeCell ref="N3:N4"/>
    <mergeCell ref="O3:P3"/>
    <mergeCell ref="Q3:R3"/>
    <mergeCell ref="S3:T3"/>
    <mergeCell ref="F3:F4"/>
    <mergeCell ref="G3:G4"/>
    <mergeCell ref="H3:H4"/>
    <mergeCell ref="I3:I4"/>
    <mergeCell ref="J3:J4"/>
    <mergeCell ref="K3:K4"/>
    <mergeCell ref="A1:BB1"/>
    <mergeCell ref="A2:M2"/>
    <mergeCell ref="N2:AX2"/>
    <mergeCell ref="AY2:BB2"/>
    <mergeCell ref="A3:A4"/>
    <mergeCell ref="B3:B4"/>
    <mergeCell ref="C3:C4"/>
    <mergeCell ref="D3:D4"/>
    <mergeCell ref="E3:E4"/>
  </mergeCells>
  <conditionalFormatting sqref="O5:AV9">
    <cfRule type="cellIs" dxfId="20" priority="5" operator="lessThan">
      <formula>74</formula>
    </cfRule>
    <cfRule type="cellIs" dxfId="19" priority="6" operator="lessThan">
      <formula>74</formula>
    </cfRule>
  </conditionalFormatting>
  <conditionalFormatting sqref="AW5:AW9">
    <cfRule type="containsText" dxfId="18" priority="7" operator="containsText" text="Progress">
      <formula>NOT(ISERROR(SEARCH("Progress",AW5)))</formula>
    </cfRule>
    <cfRule type="containsText" dxfId="17" priority="8" operator="containsText" text="Not-Cleared">
      <formula>NOT(ISERROR(SEARCH("Not-Cleared",AW5)))</formula>
    </cfRule>
    <cfRule type="containsText" dxfId="16" priority="9" operator="containsText" text="Cleared">
      <formula>NOT(ISERROR(SEARCH("Cleared",AW5)))</formula>
    </cfRule>
    <cfRule type="containsText" dxfId="15" priority="10" operator="containsText" text="Discontinued">
      <formula>NOT(ISERROR(SEARCH("Discontinued",AW5)))</formula>
    </cfRule>
    <cfRule type="containsText" dxfId="14" priority="11" operator="containsText" text="Planned">
      <formula>NOT(ISERROR(SEARCH("Planned",AW5)))</formula>
    </cfRule>
    <cfRule type="containsText" dxfId="13" priority="12" operator="containsText" text="Incomplete">
      <formula>NOT(ISERROR(SEARCH("Incomplete",AW5)))</formula>
    </cfRule>
    <cfRule type="containsText" dxfId="12" priority="13" operator="containsText" text="Completed">
      <formula>NOT(ISERROR(SEARCH("Completed",AW5)))</formula>
    </cfRule>
  </conditionalFormatting>
  <conditionalFormatting sqref="A12:A18">
    <cfRule type="duplicateValues" dxfId="11" priority="4"/>
  </conditionalFormatting>
  <conditionalFormatting sqref="J14:U18">
    <cfRule type="cellIs" dxfId="10" priority="2" operator="lessThan">
      <formula>74</formula>
    </cfRule>
    <cfRule type="cellIs" dxfId="9" priority="3" operator="lessThan">
      <formula>74</formula>
    </cfRule>
  </conditionalFormatting>
  <conditionalFormatting sqref="M26:M29">
    <cfRule type="cellIs" dxfId="8" priority="1" operator="lessThan">
      <formula>75</formula>
    </cfRule>
  </conditionalFormatting>
  <dataValidations count="4">
    <dataValidation type="list" allowBlank="1" showInputMessage="1" showErrorMessage="1" sqref="I5:I9" xr:uid="{6EBF0B35-1C27-456F-B216-41DBBC134126}">
      <formula1>".Net Angular, .Net React, Java React, Java Angular, Data Engineering, Python React, Mainframe, SDET"</formula1>
    </dataValidation>
    <dataValidation type="list" allowBlank="1" showInputMessage="1" showErrorMessage="1" sqref="AW5:AW9" xr:uid="{1BB9193C-0892-426F-AB53-1CA55FE55F39}">
      <formula1>"Cleared, Not-Cleared, Discontinued, In-Progress, To Be Planned, NA"</formula1>
    </dataValidation>
    <dataValidation type="date" operator="notEqual" allowBlank="1" showInputMessage="1" showErrorMessage="1" sqref="J5:J9 G26:H29" xr:uid="{B0575798-F6B2-44F2-8BF4-3AEE7E9BBFA6}">
      <formula1>45904</formula1>
    </dataValidation>
    <dataValidation type="list" allowBlank="1" showInputMessage="1" showErrorMessage="1" sqref="H5:H9" xr:uid="{75174A2A-A8DB-42E5-96B9-3975E3232669}">
      <formula1>"C#,Java,Python"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C3E1-5863-4FB6-90CD-831540B63AC6}">
  <dimension ref="A1:Y20"/>
  <sheetViews>
    <sheetView tabSelected="1" topLeftCell="A6" workbookViewId="0">
      <selection activeCell="K7" sqref="K7"/>
    </sheetView>
  </sheetViews>
  <sheetFormatPr defaultRowHeight="14.5" x14ac:dyDescent="0.35"/>
  <cols>
    <col min="1" max="1" width="4.46484375" bestFit="1" customWidth="1"/>
    <col min="2" max="2" width="5.06640625" bestFit="1" customWidth="1"/>
    <col min="3" max="3" width="7.6640625" bestFit="1" customWidth="1"/>
    <col min="4" max="4" width="13.3984375" bestFit="1" customWidth="1"/>
    <col min="5" max="5" width="9.265625" bestFit="1" customWidth="1"/>
    <col min="6" max="6" width="5.59765625" bestFit="1" customWidth="1"/>
    <col min="7" max="7" width="8.73046875" bestFit="1" customWidth="1"/>
    <col min="8" max="8" width="8.9296875" bestFit="1" customWidth="1"/>
    <col min="9" max="9" width="6.33203125" bestFit="1" customWidth="1"/>
    <col min="10" max="10" width="7.73046875" bestFit="1" customWidth="1"/>
  </cols>
  <sheetData>
    <row r="1" spans="1:25" ht="25.5" x14ac:dyDescent="0.55000000000000004">
      <c r="A1" s="112" t="s">
        <v>162</v>
      </c>
    </row>
    <row r="2" spans="1:25" ht="14.5" customHeight="1" x14ac:dyDescent="0.35">
      <c r="A2" s="102" t="s">
        <v>137</v>
      </c>
      <c r="B2" s="102" t="s">
        <v>23</v>
      </c>
      <c r="C2" s="102" t="s">
        <v>58</v>
      </c>
      <c r="D2" s="102" t="s">
        <v>138</v>
      </c>
      <c r="E2" s="102" t="s">
        <v>139</v>
      </c>
      <c r="F2" s="102" t="s">
        <v>121</v>
      </c>
      <c r="G2" s="103" t="s">
        <v>140</v>
      </c>
      <c r="H2" s="103"/>
      <c r="I2" s="103"/>
      <c r="J2" s="103"/>
      <c r="K2" s="103" t="s">
        <v>150</v>
      </c>
      <c r="L2" s="103"/>
      <c r="M2" s="103"/>
      <c r="N2" s="103" t="s">
        <v>151</v>
      </c>
      <c r="O2" s="103" t="s">
        <v>152</v>
      </c>
      <c r="P2" s="102" t="s">
        <v>153</v>
      </c>
      <c r="Q2" s="102"/>
      <c r="R2" s="102"/>
      <c r="S2" s="105" t="s">
        <v>154</v>
      </c>
      <c r="T2" s="105" t="s">
        <v>155</v>
      </c>
      <c r="U2" s="105" t="s">
        <v>156</v>
      </c>
      <c r="V2" s="105" t="s">
        <v>127</v>
      </c>
      <c r="W2" s="105" t="s">
        <v>67</v>
      </c>
      <c r="X2" s="105" t="s">
        <v>157</v>
      </c>
      <c r="Y2" s="105" t="s">
        <v>158</v>
      </c>
    </row>
    <row r="3" spans="1:25" ht="43.5" x14ac:dyDescent="0.35">
      <c r="A3" s="102"/>
      <c r="B3" s="102"/>
      <c r="C3" s="102"/>
      <c r="D3" s="102"/>
      <c r="E3" s="102"/>
      <c r="F3" s="102"/>
      <c r="G3" s="104" t="s">
        <v>141</v>
      </c>
      <c r="H3" s="104" t="s">
        <v>142</v>
      </c>
      <c r="I3" s="104" t="s">
        <v>143</v>
      </c>
      <c r="J3" s="104" t="s">
        <v>144</v>
      </c>
      <c r="K3" s="104" t="s">
        <v>159</v>
      </c>
      <c r="L3" s="104" t="s">
        <v>160</v>
      </c>
      <c r="M3" s="104" t="s">
        <v>161</v>
      </c>
      <c r="N3" s="103"/>
      <c r="O3" s="103"/>
      <c r="P3" s="102"/>
      <c r="Q3" s="102"/>
      <c r="R3" s="102"/>
      <c r="S3" s="105"/>
      <c r="T3" s="105"/>
      <c r="U3" s="105"/>
      <c r="V3" s="105"/>
      <c r="W3" s="105"/>
      <c r="X3" s="105"/>
      <c r="Y3" s="105"/>
    </row>
    <row r="4" spans="1:25" x14ac:dyDescent="0.35">
      <c r="A4" s="9">
        <v>1</v>
      </c>
      <c r="B4" s="10" t="s">
        <v>145</v>
      </c>
      <c r="C4" s="2">
        <v>1234</v>
      </c>
      <c r="D4" s="2" t="s">
        <v>146</v>
      </c>
      <c r="E4" s="2" t="s">
        <v>147</v>
      </c>
      <c r="F4" s="2"/>
      <c r="G4" s="6">
        <v>3</v>
      </c>
      <c r="H4" s="6">
        <v>3</v>
      </c>
      <c r="I4" s="6">
        <v>3</v>
      </c>
      <c r="J4" s="6">
        <v>2</v>
      </c>
      <c r="K4" s="6">
        <v>3</v>
      </c>
      <c r="L4" s="6">
        <v>3</v>
      </c>
      <c r="M4" s="6">
        <v>3</v>
      </c>
      <c r="N4" s="106" t="s">
        <v>111</v>
      </c>
      <c r="O4" s="101">
        <v>19</v>
      </c>
      <c r="P4" s="107"/>
      <c r="Q4" s="108"/>
      <c r="R4" s="109"/>
      <c r="S4" s="9">
        <v>7</v>
      </c>
      <c r="T4" s="9">
        <v>7</v>
      </c>
      <c r="U4" s="9">
        <v>0</v>
      </c>
      <c r="V4" s="110">
        <v>1</v>
      </c>
      <c r="W4" s="111" t="s">
        <v>92</v>
      </c>
      <c r="X4" s="10"/>
      <c r="Y4" s="10"/>
    </row>
    <row r="5" spans="1:25" x14ac:dyDescent="0.35">
      <c r="A5" s="9">
        <v>2</v>
      </c>
      <c r="B5" s="10" t="s">
        <v>145</v>
      </c>
      <c r="C5" s="2">
        <v>2345</v>
      </c>
      <c r="D5" s="2" t="s">
        <v>148</v>
      </c>
      <c r="E5" s="2" t="s">
        <v>149</v>
      </c>
      <c r="F5" s="2"/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4</v>
      </c>
      <c r="M5" s="6">
        <v>3</v>
      </c>
      <c r="N5" s="101" t="s">
        <v>112</v>
      </c>
      <c r="O5" s="101">
        <v>18</v>
      </c>
      <c r="P5" s="107"/>
      <c r="Q5" s="108"/>
      <c r="R5" s="109"/>
      <c r="S5" s="9">
        <v>7</v>
      </c>
      <c r="T5" s="9">
        <v>7</v>
      </c>
      <c r="U5" s="9">
        <v>0</v>
      </c>
      <c r="V5" s="110">
        <v>1</v>
      </c>
      <c r="W5" s="111" t="s">
        <v>92</v>
      </c>
      <c r="X5" s="10"/>
      <c r="Y5" s="10"/>
    </row>
    <row r="7" spans="1:25" ht="28" x14ac:dyDescent="0.6">
      <c r="A7" s="113" t="s">
        <v>163</v>
      </c>
    </row>
    <row r="9" spans="1:25" x14ac:dyDescent="0.35">
      <c r="A9" s="114" t="s">
        <v>100</v>
      </c>
      <c r="B9" s="114" t="s">
        <v>33</v>
      </c>
      <c r="C9" s="114" t="s">
        <v>164</v>
      </c>
      <c r="D9" s="114" t="s">
        <v>165</v>
      </c>
      <c r="E9" s="114" t="s">
        <v>166</v>
      </c>
      <c r="F9" s="114" t="s">
        <v>167</v>
      </c>
      <c r="G9" s="114" t="s">
        <v>168</v>
      </c>
      <c r="H9" s="114" t="s">
        <v>169</v>
      </c>
      <c r="I9" s="114" t="s">
        <v>170</v>
      </c>
      <c r="J9" s="114" t="s">
        <v>171</v>
      </c>
      <c r="K9" s="114" t="s">
        <v>172</v>
      </c>
      <c r="L9" s="114" t="s">
        <v>173</v>
      </c>
      <c r="M9" s="114" t="s">
        <v>174</v>
      </c>
      <c r="N9" s="114" t="s">
        <v>175</v>
      </c>
      <c r="O9" s="114" t="s">
        <v>176</v>
      </c>
      <c r="P9" s="114" t="s">
        <v>177</v>
      </c>
      <c r="Q9" s="114" t="s">
        <v>178</v>
      </c>
      <c r="R9" s="114" t="s">
        <v>179</v>
      </c>
      <c r="S9" s="114" t="s">
        <v>180</v>
      </c>
      <c r="T9" s="114" t="s">
        <v>181</v>
      </c>
      <c r="U9" s="115" t="s">
        <v>182</v>
      </c>
      <c r="V9" s="114" t="s">
        <v>183</v>
      </c>
      <c r="W9" s="114" t="s">
        <v>182</v>
      </c>
    </row>
    <row r="10" spans="1:25" x14ac:dyDescent="0.35">
      <c r="A10" s="116" t="s">
        <v>114</v>
      </c>
      <c r="B10" s="116"/>
      <c r="C10" s="116" t="s">
        <v>184</v>
      </c>
      <c r="D10" s="116" t="s">
        <v>185</v>
      </c>
      <c r="E10" s="117">
        <v>46056.636030092595</v>
      </c>
      <c r="F10" s="117">
        <v>46056.669085648151</v>
      </c>
      <c r="G10" s="116" t="s">
        <v>186</v>
      </c>
      <c r="H10" s="118">
        <v>50</v>
      </c>
      <c r="I10" s="116">
        <v>46</v>
      </c>
      <c r="J10" s="119">
        <v>0.92</v>
      </c>
      <c r="K10" s="118">
        <v>0</v>
      </c>
      <c r="L10" s="118">
        <v>0</v>
      </c>
      <c r="M10" s="118">
        <v>0</v>
      </c>
      <c r="N10" s="118"/>
      <c r="O10" s="118">
        <v>0</v>
      </c>
      <c r="P10" s="118">
        <v>0</v>
      </c>
      <c r="Q10" s="118">
        <v>0</v>
      </c>
      <c r="R10" s="118">
        <v>0</v>
      </c>
      <c r="S10" s="118">
        <v>12</v>
      </c>
      <c r="T10" s="119">
        <v>0.625</v>
      </c>
      <c r="U10" s="120" t="s">
        <v>187</v>
      </c>
      <c r="V10" s="116" t="s">
        <v>110</v>
      </c>
      <c r="W10" s="116"/>
    </row>
    <row r="11" spans="1:25" x14ac:dyDescent="0.35">
      <c r="A11" s="116" t="s">
        <v>191</v>
      </c>
      <c r="B11" s="116"/>
      <c r="C11" s="116" t="s">
        <v>184</v>
      </c>
      <c r="D11" s="116" t="s">
        <v>185</v>
      </c>
      <c r="E11" s="117">
        <v>46056.626701388886</v>
      </c>
      <c r="F11" s="117">
        <v>46056.662685185183</v>
      </c>
      <c r="G11" s="116" t="s">
        <v>188</v>
      </c>
      <c r="H11" s="118">
        <v>50</v>
      </c>
      <c r="I11" s="116">
        <v>50</v>
      </c>
      <c r="J11" s="119">
        <v>1</v>
      </c>
      <c r="K11" s="118">
        <v>0</v>
      </c>
      <c r="L11" s="118">
        <v>0</v>
      </c>
      <c r="M11" s="118">
        <v>0</v>
      </c>
      <c r="N11" s="118"/>
      <c r="O11" s="118">
        <v>0</v>
      </c>
      <c r="P11" s="118">
        <v>0</v>
      </c>
      <c r="Q11" s="118">
        <v>0</v>
      </c>
      <c r="R11" s="118">
        <v>0</v>
      </c>
      <c r="S11" s="118">
        <v>7</v>
      </c>
      <c r="T11" s="119">
        <v>0.78125</v>
      </c>
      <c r="U11" s="120" t="s">
        <v>187</v>
      </c>
      <c r="V11" s="116" t="s">
        <v>110</v>
      </c>
      <c r="W11" s="116"/>
    </row>
    <row r="12" spans="1:25" x14ac:dyDescent="0.35">
      <c r="A12" s="116" t="s">
        <v>192</v>
      </c>
      <c r="B12" s="116"/>
      <c r="C12" s="116" t="s">
        <v>184</v>
      </c>
      <c r="D12" s="116" t="s">
        <v>185</v>
      </c>
      <c r="E12" s="117">
        <v>46056.625648148147</v>
      </c>
      <c r="F12" s="117">
        <v>46056.717499999999</v>
      </c>
      <c r="G12" s="116" t="s">
        <v>189</v>
      </c>
      <c r="H12" s="118">
        <v>50</v>
      </c>
      <c r="I12" s="116">
        <v>39</v>
      </c>
      <c r="J12" s="119">
        <v>0.78</v>
      </c>
      <c r="K12" s="118">
        <v>0</v>
      </c>
      <c r="L12" s="118">
        <v>0</v>
      </c>
      <c r="M12" s="118">
        <v>0</v>
      </c>
      <c r="N12" s="118"/>
      <c r="O12" s="118">
        <v>0</v>
      </c>
      <c r="P12" s="118">
        <v>0</v>
      </c>
      <c r="Q12" s="118">
        <v>6</v>
      </c>
      <c r="R12" s="118">
        <v>0</v>
      </c>
      <c r="S12" s="118">
        <v>2</v>
      </c>
      <c r="T12" s="119">
        <v>-0.11249999999999982</v>
      </c>
      <c r="U12" s="120" t="s">
        <v>190</v>
      </c>
      <c r="V12" s="116"/>
      <c r="W12" s="116"/>
    </row>
    <row r="14" spans="1:25" ht="25.5" x14ac:dyDescent="0.55000000000000004">
      <c r="A14" s="112" t="s">
        <v>193</v>
      </c>
    </row>
    <row r="16" spans="1:25" x14ac:dyDescent="0.35">
      <c r="A16" s="121" t="s">
        <v>194</v>
      </c>
      <c r="B16" s="121" t="s">
        <v>195</v>
      </c>
      <c r="C16" s="121" t="s">
        <v>196</v>
      </c>
      <c r="D16" s="121" t="s">
        <v>197</v>
      </c>
      <c r="E16" s="121" t="s">
        <v>198</v>
      </c>
      <c r="F16" s="121" t="s">
        <v>199</v>
      </c>
      <c r="G16" s="121" t="s">
        <v>200</v>
      </c>
      <c r="H16" s="121" t="s">
        <v>201</v>
      </c>
      <c r="I16" s="121" t="s">
        <v>202</v>
      </c>
      <c r="J16" s="121" t="s">
        <v>203</v>
      </c>
      <c r="K16" s="121" t="s">
        <v>204</v>
      </c>
      <c r="L16" s="121" t="s">
        <v>205</v>
      </c>
      <c r="M16" s="121" t="s">
        <v>206</v>
      </c>
      <c r="N16" s="121" t="s">
        <v>207</v>
      </c>
      <c r="O16" s="121" t="s">
        <v>208</v>
      </c>
      <c r="P16" s="121" t="s">
        <v>209</v>
      </c>
      <c r="Q16" s="121" t="s">
        <v>210</v>
      </c>
      <c r="R16" s="121" t="s">
        <v>211</v>
      </c>
      <c r="S16" s="121" t="s">
        <v>212</v>
      </c>
      <c r="T16" s="121" t="s">
        <v>213</v>
      </c>
      <c r="U16" s="121" t="s">
        <v>214</v>
      </c>
      <c r="V16" s="121" t="s">
        <v>215</v>
      </c>
      <c r="W16" s="121" t="s">
        <v>216</v>
      </c>
      <c r="X16" s="121" t="s">
        <v>217</v>
      </c>
      <c r="Y16" s="121" t="s">
        <v>218</v>
      </c>
    </row>
    <row r="17" spans="1:25" x14ac:dyDescent="0.35">
      <c r="A17" s="38" t="s">
        <v>118</v>
      </c>
      <c r="B17" s="38" t="s">
        <v>49</v>
      </c>
      <c r="C17" s="38" t="s">
        <v>219</v>
      </c>
      <c r="D17" s="38">
        <v>1277130</v>
      </c>
      <c r="E17" s="38" t="s">
        <v>220</v>
      </c>
      <c r="F17" s="38" t="s">
        <v>221</v>
      </c>
      <c r="G17" s="122">
        <v>9581</v>
      </c>
      <c r="H17" s="38">
        <v>50</v>
      </c>
      <c r="I17" s="38">
        <v>47</v>
      </c>
      <c r="J17" s="38">
        <v>94</v>
      </c>
      <c r="K17" s="38" t="s">
        <v>112</v>
      </c>
      <c r="L17" s="38">
        <v>50</v>
      </c>
      <c r="M17" s="38">
        <v>60</v>
      </c>
      <c r="N17" s="38">
        <v>20</v>
      </c>
      <c r="O17" s="38" t="s">
        <v>222</v>
      </c>
      <c r="P17" s="38" t="s">
        <v>223</v>
      </c>
      <c r="Q17" s="38">
        <v>0</v>
      </c>
      <c r="R17" s="38">
        <v>0</v>
      </c>
      <c r="S17" s="38" t="s">
        <v>219</v>
      </c>
      <c r="T17" s="38">
        <v>92</v>
      </c>
      <c r="U17" s="38" t="s">
        <v>224</v>
      </c>
      <c r="V17" s="38">
        <v>34</v>
      </c>
      <c r="W17" s="38" t="s">
        <v>225</v>
      </c>
      <c r="X17" s="38" t="s">
        <v>219</v>
      </c>
      <c r="Y17" s="38" t="s">
        <v>226</v>
      </c>
    </row>
    <row r="18" spans="1:25" x14ac:dyDescent="0.35">
      <c r="A18" s="38" t="s">
        <v>118</v>
      </c>
      <c r="B18" s="38" t="s">
        <v>119</v>
      </c>
      <c r="C18" s="38" t="s">
        <v>219</v>
      </c>
      <c r="D18" s="38">
        <v>1277130</v>
      </c>
      <c r="E18" s="38" t="s">
        <v>220</v>
      </c>
      <c r="F18" s="38" t="s">
        <v>221</v>
      </c>
      <c r="G18" s="122">
        <v>9581</v>
      </c>
      <c r="H18" s="38">
        <v>50</v>
      </c>
      <c r="I18" s="38">
        <v>45</v>
      </c>
      <c r="J18" s="38">
        <v>90</v>
      </c>
      <c r="K18" s="38" t="s">
        <v>112</v>
      </c>
      <c r="L18" s="38">
        <v>50</v>
      </c>
      <c r="M18" s="38">
        <v>60</v>
      </c>
      <c r="N18" s="38">
        <v>31</v>
      </c>
      <c r="O18" s="38" t="s">
        <v>222</v>
      </c>
      <c r="P18" s="38" t="s">
        <v>223</v>
      </c>
      <c r="Q18" s="38">
        <v>0</v>
      </c>
      <c r="R18" s="38">
        <v>0</v>
      </c>
      <c r="S18" s="38" t="s">
        <v>219</v>
      </c>
      <c r="T18" s="38">
        <v>46</v>
      </c>
      <c r="U18" s="38" t="s">
        <v>219</v>
      </c>
      <c r="V18" s="38">
        <v>34</v>
      </c>
      <c r="W18" s="38" t="s">
        <v>225</v>
      </c>
      <c r="X18" s="38" t="s">
        <v>219</v>
      </c>
      <c r="Y18" s="38" t="s">
        <v>226</v>
      </c>
    </row>
    <row r="19" spans="1:25" x14ac:dyDescent="0.35">
      <c r="A19" s="38" t="s">
        <v>118</v>
      </c>
      <c r="B19" s="38" t="s">
        <v>148</v>
      </c>
      <c r="C19" s="38" t="s">
        <v>219</v>
      </c>
      <c r="D19" s="38">
        <v>1277130</v>
      </c>
      <c r="E19" s="38" t="s">
        <v>220</v>
      </c>
      <c r="F19" s="38" t="s">
        <v>221</v>
      </c>
      <c r="G19" s="122">
        <v>9581</v>
      </c>
      <c r="H19" s="38">
        <v>50</v>
      </c>
      <c r="I19" s="38">
        <v>47</v>
      </c>
      <c r="J19" s="38">
        <v>94</v>
      </c>
      <c r="K19" s="38" t="s">
        <v>112</v>
      </c>
      <c r="L19" s="38">
        <v>50</v>
      </c>
      <c r="M19" s="38">
        <v>60</v>
      </c>
      <c r="N19" s="38">
        <v>25</v>
      </c>
      <c r="O19" s="38" t="s">
        <v>222</v>
      </c>
      <c r="P19" s="38" t="s">
        <v>223</v>
      </c>
      <c r="Q19" s="38">
        <v>0</v>
      </c>
      <c r="R19" s="38">
        <v>0</v>
      </c>
      <c r="S19" s="38" t="s">
        <v>219</v>
      </c>
      <c r="T19" s="38">
        <v>92</v>
      </c>
      <c r="U19" s="38" t="s">
        <v>219</v>
      </c>
      <c r="V19" s="38">
        <v>34</v>
      </c>
      <c r="W19" s="38" t="s">
        <v>225</v>
      </c>
      <c r="X19" s="38" t="s">
        <v>219</v>
      </c>
      <c r="Y19" s="38" t="s">
        <v>226</v>
      </c>
    </row>
    <row r="20" spans="1:25" x14ac:dyDescent="0.35">
      <c r="A20" s="38" t="s">
        <v>118</v>
      </c>
      <c r="B20" s="38" t="s">
        <v>227</v>
      </c>
      <c r="C20" s="38" t="s">
        <v>219</v>
      </c>
      <c r="D20" s="38">
        <v>1277130</v>
      </c>
      <c r="E20" s="38" t="s">
        <v>220</v>
      </c>
      <c r="F20" s="38" t="s">
        <v>221</v>
      </c>
      <c r="G20" s="122">
        <v>9581</v>
      </c>
      <c r="H20" s="38">
        <v>50</v>
      </c>
      <c r="I20" s="38">
        <v>48</v>
      </c>
      <c r="J20" s="38">
        <v>96</v>
      </c>
      <c r="K20" s="38" t="s">
        <v>112</v>
      </c>
      <c r="L20" s="38">
        <v>50</v>
      </c>
      <c r="M20" s="38">
        <v>60</v>
      </c>
      <c r="N20" s="38">
        <v>18</v>
      </c>
      <c r="O20" s="38" t="s">
        <v>222</v>
      </c>
      <c r="P20" s="38" t="s">
        <v>223</v>
      </c>
      <c r="Q20" s="38">
        <v>0</v>
      </c>
      <c r="R20" s="38">
        <v>0</v>
      </c>
      <c r="S20" s="38" t="s">
        <v>219</v>
      </c>
      <c r="T20" s="38">
        <v>99</v>
      </c>
      <c r="U20" s="38" t="s">
        <v>224</v>
      </c>
      <c r="V20" s="38">
        <v>34</v>
      </c>
      <c r="W20" s="38" t="s">
        <v>225</v>
      </c>
      <c r="X20" s="38" t="s">
        <v>219</v>
      </c>
      <c r="Y20" s="38" t="s">
        <v>226</v>
      </c>
    </row>
  </sheetData>
  <mergeCells count="20">
    <mergeCell ref="P4:R4"/>
    <mergeCell ref="P5:R5"/>
    <mergeCell ref="T2:T3"/>
    <mergeCell ref="U2:U3"/>
    <mergeCell ref="V2:V3"/>
    <mergeCell ref="W2:W3"/>
    <mergeCell ref="X2:X3"/>
    <mergeCell ref="Y2:Y3"/>
    <mergeCell ref="G2:J2"/>
    <mergeCell ref="K2:M2"/>
    <mergeCell ref="N2:N3"/>
    <mergeCell ref="O2:O3"/>
    <mergeCell ref="P2:R3"/>
    <mergeCell ref="S2:S3"/>
    <mergeCell ref="A2:A3"/>
    <mergeCell ref="B2:B3"/>
    <mergeCell ref="C2:C3"/>
    <mergeCell ref="D2:D3"/>
    <mergeCell ref="E2:E3"/>
    <mergeCell ref="F2:F3"/>
  </mergeCells>
  <conditionalFormatting sqref="D2:D3">
    <cfRule type="duplicateValues" dxfId="6" priority="9"/>
  </conditionalFormatting>
  <conditionalFormatting sqref="G4:M5">
    <cfRule type="colorScale" priority="8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N4">
    <cfRule type="colorScale" priority="7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W4:W5">
    <cfRule type="containsText" dxfId="5" priority="1" operator="containsText" text="Not-Cleared">
      <formula>NOT(ISERROR(SEARCH("Not-Cleared",W4)))</formula>
    </cfRule>
    <cfRule type="containsText" dxfId="4" priority="2" operator="containsText" text="Onboarded">
      <formula>NOT(ISERROR(SEARCH("Onboarded",W4)))</formula>
    </cfRule>
    <cfRule type="containsText" dxfId="3" priority="3" operator="containsText" text="Discontinued">
      <formula>NOT(ISERROR(SEARCH("Discontinued",W4)))</formula>
    </cfRule>
    <cfRule type="containsText" dxfId="2" priority="4" operator="containsText" text="Pending">
      <formula>NOT(ISERROR(SEARCH("Pending",W4)))</formula>
    </cfRule>
    <cfRule type="containsText" dxfId="1" priority="5" operator="containsText" text="Active">
      <formula>NOT(ISERROR(SEARCH("Active",W4)))</formula>
    </cfRule>
    <cfRule type="containsText" dxfId="0" priority="6" operator="containsText" text="Delayed">
      <formula>NOT(ISERROR(SEARCH("Delayed",W4)))</formula>
    </cfRule>
  </conditionalFormatting>
  <dataValidations count="1">
    <dataValidation type="list" allowBlank="1" showInputMessage="1" showErrorMessage="1" sqref="W4:W5" xr:uid="{24C901C4-1899-421C-B88A-B5D12CF78462}">
      <formula1>"Active,Delayed,Discontinued,Not-Cleared,Onboarded,Pending"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Mertics</vt:lpstr>
      <vt:lpstr>Attendance</vt:lpstr>
      <vt:lpstr>Training Feedback</vt:lpstr>
      <vt:lpstr>Over all Report Cards</vt:lpstr>
      <vt:lpstr>Assessment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G</dc:creator>
  <cp:lastModifiedBy>Sudha G</cp:lastModifiedBy>
  <dcterms:created xsi:type="dcterms:W3CDTF">2026-04-30T10:19:08Z</dcterms:created>
  <dcterms:modified xsi:type="dcterms:W3CDTF">2026-04-30T12:00:06Z</dcterms:modified>
</cp:coreProperties>
</file>